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DMIN\Downloads\SUM26\CSD\CSD201-group3\ai_logs\"/>
    </mc:Choice>
  </mc:AlternateContent>
  <xr:revisionPtr revIDLastSave="0" documentId="13_ncr:1_{6DD308C3-79A2-4E83-A8E9-FE61FDF87268}" xr6:coauthVersionLast="47" xr6:coauthVersionMax="47" xr10:uidLastSave="{00000000-0000-0000-0000-000000000000}"/>
  <bookViews>
    <workbookView xWindow="-108" yWindow="-108" windowWidth="23256" windowHeight="13176"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2" i="1" l="1"/>
</calcChain>
</file>

<file path=xl/sharedStrings.xml><?xml version="1.0" encoding="utf-8"?>
<sst xmlns="http://schemas.openxmlformats.org/spreadsheetml/2006/main" count="328" uniqueCount="267">
  <si>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</si>
  <si>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</si>
  <si>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</si>
  <si>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</si>
  <si>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</si>
  <si>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</si>
  <si>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</si>
  <si>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</si>
  <si>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</si>
  <si>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</si>
  <si>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001</t>
  </si>
  <si>
    <t>DECISION</t>
  </si>
  <si>
    <t>Abstraction</t>
  </si>
  <si>
    <t>Nhóm cần chọn 1 topic từ đề RQ_CSD201_CSD203 và xác định cấu trúc dữ liệu lõi cho hệ thống Browser History &amp; Cache Navigation (Topic 9)</t>
  </si>
  <si>
    <t>AI gợi ý Topic 9 (Browser History) dễ nhất trong danh sách đề tài. Đề xuất 2 lựa chọn cấu trúc dữ liệu: Doubly Linked List (di chuyển tiến/lùi dễ dàng) hoặc Stack (lưu để back về trang trước). Lập kế hoạch Tuần 1 gồm Decomposition (chia Node, BrowserHistory, methods) và Abstraction (so sánh DLL vs Stack theo bối cảnh thực tế).</t>
  </si>
  <si>
    <t>Critical Thinking: AI chỉ liệt kê 2 lựa chọn mà chưa phân tích trade-off cụ thể — dùng Stack đơn sẽ mất khả năng Forward sau khi Back (pop không thể 'undo'), muốn có Forward phải dùng 2 stack riêng và đồng bộ thủ công khi có trang mới (branching). Contextualization: Đề bài yêu cầu rõ cả nút Back VÀ Forward, đồng thời phải xử lý trường hợp user back rồi visit trang mới (branching cắt nhánh forward) — Stack đơn không xử lý gọn được tình huống này. Creative Synthesis: Doubly Linked List cho phép 1 con trỏ 'current' duy nhất di chuyển 2 chiều qua prev/next; khi branching chỉ cần cắt next của current, không cần đồng bộ 2 cấu trúc dữ liệu riêng. Decision: Chọn Doubly Linked List làm cấu trúc dữ liệu chính — Node có prev/next, BrowserHistory quản lý head/tail/current.</t>
  </si>
  <si>
    <t>Bảng so sánh DLL vs Stack trong kế hoạch Tuần 1 (RQ_CSD201_CSD203) + Node.java có thuộc tính prev/next</t>
  </si>
  <si>
    <t>002</t>
  </si>
  <si>
    <t>Decomposition</t>
  </si>
  <si>
    <t>Cần phân chia công việc Tuần 1 cho 4 thành viên (Hoàng Phúc, Nguyên, Đào Cao Duy, Hoàng Nam) dựa trên flowchart hệ thống Browser History</t>
  </si>
  <si>
    <t>"phân tích nghiệp vụ và phân chia phần làm cho nhóm 4 thành viên trong 1 tuần"</t>
  </si>
  <si>
    <t>AI đề xuất vẽ 1 flowchart tổng duy nhất (không tách 5-6 flowchart rời) gồm các nhánh: Init+SampleData, Visit+Branching, Back, Forward, Show History+Remove Page. Phân công: Hoàng Phúc (Init+SampleData), Nguyên (Back+Forward), Đào Cao Duy (Visit+Branching), Hoàng Nam (Show History+Remove Page+UML).</t>
  </si>
  <si>
    <t>Critical Thinking: Việc gộp 'Remove Page' và 'UML' vào phần của Hoàng Nam tạo workload lệch — Remove Page là code method còn UML là tài liệu thiết kế, hai loại công việc khác bản chất, khó ước lượng cùng 1 mốc thời gian. Contextualization: Trong Progress Test, GV chấm điểm cá nhân dựa trên phần được giao — nếu 1 người ôm 2 loại task khác bản chất (code + design doc) sẽ dễ trễ và ảnh hưởng điểm chung của nhóm. Creative Synthesis: Giữ nguyên 3/4 phân công của AI (hợp lý theo độ khó tăng dần: Init dễ nhất → Visit+Branching khó nhất), nhưng tách UML thành mốc theo dõi phụ, không tính vào deadline chính của Hoàng Nam. Decision: Áp dụng bảng phân công AI đề xuất cho cả 4 người, đồng thời thêm 1 buổi check-in giữa tuần riêng cho phần UML của Hoàng Nam để tránh rủi ro trễ tiến độ chung.</t>
  </si>
  <si>
    <t>Flowchart tổng (5 nhánh) + bảng phân công 4 thành viên (Hoàng Phúc/Nguyên/Đào Cao Duy/Hoàng Nam)</t>
  </si>
  <si>
    <t>003</t>
  </si>
  <si>
    <t>VERIFICATION</t>
  </si>
  <si>
    <t>Pattern Recognition</t>
  </si>
  <si>
    <t>3 file code (BrowserHistory.java, BrowserSimulator.java, Node.java) đã được nộp, cần kiểm tra mức độ hoàn thành so với phân công Tuần 1 và yêu cầu GV</t>
  </si>
  <si>
    <t>"đọc 3 file này thử đã đúng với project của nhóm theo yêu cầu từng người chưa" (kèm 3 file code)</t>
  </si>
  <si>
    <t>AI lập bảng đánh giá theo từng thành viên: Nguyên (back/forward) ✅ hoàn thành đầy đủ với null-checking; Đào Cao Duy (visit/branching) chạy đúng nhưng cảnh báo truncateForward() hiện tại là O(n) (duyệt while loop) trong khi AI Reflection vòng trước đề xuất có thể đạt O(1); Hoàng Nam (showHistory/removePage/UML) mới ~50%, thiếu removePage và UML; Hoàng Phúc (Node/generateSampleData) thiếu generateSampleData. Tổng thể đạt 70-75% yêu cầu Tuần 1.</t>
  </si>
  <si>
    <t>Critical Thinking: Phát hiện chính AI ở vòng trước đã đề xuất công thức O(1) ('current.next = null; tail = current;') nhưng không tính đến việc cần cập nhật biến size — nếu chỉ cắt liên kết mà không duyệt từng node để giảm size, biến size sẽ SAI khi gọi showHistory() ('Total: X page(s)' không khớp số node thực tế). Contextualization: showHistory() của nhóm in ra 'Total: X page(s)' dựa trên biến size — đây là yêu cầu hiển thị quan trọng khi demo, size phải chính xác tuyệt đối. Creative Synthesis: Đánh giá trade-off O(1) (không duyệt, size có thể sai) vs O(n) (duyệt từng node bị cắt, size luôn đúng). Với số trang trong 1 session trình duyệt thực tế (thường &lt;50), chênh lệch hiệu năng O(n) vs O(1) không đáng kể, nhưng size sai sẽ bị GV bắt lỗi ngay khi demo. Decision: KHÔNG sửa truncateForward() theo hướng O(1) của AI. Giữ nguyên while loop O(n) để đảm bảo size đúng, sửa lại câu chữ báo cáo — không còn ghi 'Branching tối ưu O(1)'. Bổ sung thêm generateSampleData() và removePage() theo các mục AI chỉ ra còn thiếu.</t>
  </si>
  <si>
    <t>Bảng đánh giá 4 thành viên (70-75%) + code truncateForward() với while loop cập nhật size--</t>
  </si>
  <si>
    <t>004</t>
  </si>
  <si>
    <t>PROBLEM-SOLVING</t>
  </si>
  <si>
    <t>Algorithms</t>
  </si>
  <si>
    <t>Sau khi bổ sung removePage() và generateData(), cần review lại lần cuối trước khi demo để tránh bị GV bắt lỗi runtime</t>
  </si>
  <si>
    <t>Gửi code đã cập nhật (BrowserHistory.java, BrowserSimulator.java), yêu cầu AI review lần cuối trước demo</t>
  </si>
  <si>
    <t>AI chỉ ra 7 điểm: (1) menu in 'Select function (0-4)' nhưng thực tế có 7 lựa chọn 0-6; (2) gọi 'Generate Data' nhiều lần sẽ nhân đôi dữ liệu, cần check isEmpty() trước; (3) removePage() có thể NullPointerException khi xóa node cuối cùng vì 'tail = tail.prev' có thể ra null rồi gọi 'tail.next = null'; (4) xử lý reassign current khi xóa đúng node hiện tại — đánh giá tốt; (5) so sánh removePage(int index) vs removePage(String url); (6) đề xuất code dùng Random để generateData() 'đúng nghĩa generator' hơn; (7) đánh giá lại theo phân công 4 người đạt 85-90%.</t>
  </si>
  <si>
    <t>Critical Thinking: Test thử case removePage() khi history chỉ còn đúng 1 node (head == tail == current) — xác nhận lỗi NullPointerException ở điểm (3) là CHÍNH XÁC: tail.prev là null → tail = null → gọi tail.next = null sẽ crash ngay. Contextualization: Tuy nhiên đoạn code Random ở điểm (6) mà AI đề xuất để thay generateData() lại có lỗi: vòng for chỉ random ra biến 'pos' nhưng KHÔNG dùng 'pos' để gọi visit() nào cả — đoạn code đó về bản chất không sinh ra bất kỳ dữ liệu nào, là code rỗng dù trông có vẻ 'chuyên nghiệp' hơn. Creative Synthesis: Phân loại 7 đề xuất của AI thành 'bug thật cần sửa ngay' (menu range 0-6, NPE ở removePage) và 'đề xuất chưa hoàn chỉnh không nên áp dụng' (Random generator). Test trực tiếp từng case trước khi merge code là bước bắt buộc, không thể tin tưởng 100% vào review của AI. Decision: Sửa 2 bug đã verify: đổi 'Select function (0-4)' → '(0-6)', và thêm null-check 'if (tail != null) tail.next = null;' trong removePage(). KHÔNG áp dụng đề xuất Random generator dở dang của AI — giữ nguyên generateData() hard-code 10 trang vì đã hoạt động đúng và đủ cho demo.</t>
  </si>
  <si>
    <t>Code diff menu '(0-6)' + removePage() có null-check tail.prev + bảng đánh giá cuối 85-90% theo 4 thành viên</t>
  </si>
  <si>
    <t>AI AUDIT LOG - METADATA &amp; SUMMARY</t>
  </si>
  <si>
    <t>STUDENT INFORMATION</t>
  </si>
  <si>
    <t>Student Name:</t>
  </si>
  <si>
    <t>Trần Thanh Nguyên</t>
  </si>
  <si>
    <t>Student ID:</t>
  </si>
  <si>
    <t>QE200015</t>
  </si>
  <si>
    <t>Course:</t>
  </si>
  <si>
    <t>Assignment:</t>
  </si>
  <si>
    <t>AI USAGE SUMMARY</t>
  </si>
  <si>
    <t>Total Prompts Used (all AI tools):</t>
  </si>
  <si>
    <t>Core Prompts Logged:</t>
  </si>
  <si>
    <t>Selection Ratio:</t>
  </si>
  <si>
    <t>Should be 10-20%</t>
  </si>
  <si>
    <t>Hallucination Detected:</t>
  </si>
  <si>
    <t>AI TOOLS USED</t>
  </si>
  <si>
    <t>AI Tool</t>
  </si>
  <si>
    <t>Purpose</t>
  </si>
  <si>
    <t>Frequency</t>
  </si>
  <si>
    <t>Main Value</t>
  </si>
  <si>
    <t>ChatGPT</t>
  </si>
  <si>
    <t>Not used in this assignment</t>
  </si>
  <si>
    <t>—</t>
  </si>
  <si>
    <t>Claude</t>
  </si>
  <si>
    <t>Requirement analysis, task planning, code review</t>
  </si>
  <si>
    <t>High</t>
  </si>
  <si>
    <t>Critical trade-off analysis &amp; bug catching</t>
  </si>
  <si>
    <t>GitHub Copilot</t>
  </si>
  <si>
    <t>Gemini</t>
  </si>
  <si>
    <t>Antigravity</t>
  </si>
  <si>
    <t>CORE PROMPTS DISTRIBUTION BY DTC COMPONENT</t>
  </si>
  <si>
    <t>DTC Component</t>
  </si>
  <si>
    <t>Number of Prompts</t>
  </si>
  <si>
    <t>Required (Min)</t>
  </si>
  <si>
    <t>≥ 1</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</si>
  <si>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</si>
  <si>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</si>
  <si>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</si>
  <si>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</si>
  <si>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</si>
  <si>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</si>
  <si>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</si>
  <si>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</si>
  <si>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Logic Error</t>
  </si>
  <si>
    <t>Ở vòng review trước, AI đề xuất có thể tối ưu truncateForward() xuống O(1) chỉ bằng 'current.next = null; tail = current;' mà không cần duyệt qua các node bị cắt.</t>
  </si>
  <si>
    <t>Nếu chỉ cắt liên kết mà không duyệt từng node, biến 'size' không được giảm đúng số node đã bị xóa khỏi forward history → showHistory() hiển thị 'Total: X page(s)' SAI so với số node thực tế còn lại.</t>
  </si>
  <si>
    <t>So sánh đề xuất O(1) của AI với code thực tế (có while loop giảm size--), nhận ra 2 cách không tương đương nếu cần giữ size chính xác.</t>
  </si>
  <si>
    <t>Giữ nguyên truncateForward() O(n) với while loop cập nhật size--; sửa báo cáo không claim 'tối ưu O(1)' mà ghi rõ trade-off đã cân nhắc giữa performance và tính đúng của size.</t>
  </si>
  <si>
    <t>Oversimplification</t>
  </si>
  <si>
    <t>AI khẳng định đoạn code dùng Random để generateData() sẽ 'đúng nghĩa Generator' hơn và 'GV sẽ thích hơn' so với hard-code 10 trang.</t>
  </si>
  <si>
    <t>Đoạn code AI cung cấp (Random rd = new Random(); for(...) { int pos = rd.nextInt(websites.length); }) chỉ tính ra biến pos rồi BỎ KHÔNG DÙNG — không có lệnh gọi visit() hay thêm node nào cả, nên chạy xong vòng for KHÔNG sinh ra bất kỳ dữ liệu nào trong history.</t>
  </si>
  <si>
    <t>Đọc kỹ từng dòng code AI đề xuất, nhận ra biến 'pos' được tính nhưng không xuất hiện ở bất kỳ statement nào khác trong vòng lặp.</t>
  </si>
  <si>
    <t>Không áp dụng đề xuất Random generator của AI; giữ nguyên generateData() hard-code 10 website (đã chạy đúng, đủ cho demo Tuần 1).</t>
  </si>
  <si>
    <t>HALLUCINATION TYPES REFERENCE:</t>
  </si>
  <si>
    <t>Type</t>
  </si>
  <si>
    <t>Definition</t>
  </si>
  <si>
    <t>Example</t>
  </si>
  <si>
    <t>Fabrication</t>
  </si>
  <si>
    <t>AI tạo ra thông tin không tồn tại</t>
  </si>
  <si>
    <t>Fake papers, fake APIs, fake data</t>
  </si>
  <si>
    <t>AI bỏ qua edge cases, exceptions</t>
  </si>
  <si>
    <t>Code không handle array rỗng</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</si>
  <si>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</si>
  <si>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</si>
  <si>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</si>
  <si>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</si>
  <si>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</si>
  <si>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</si>
  <si>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</si>
  <si>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</si>
  <si>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</si>
  <si>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</si>
  <si>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</si>
  <si>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</si>
  <si>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</si>
  <si>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</si>
  <si>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</si>
  <si>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</si>
  <si>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</si>
  <si>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t>
  </si>
  <si>
    <t>Entries 001-004: mỗi prompt dẫn đến quyết định kiến trúc (DLL vs Stack), phân công nhóm, hoặc fix bug ảnh hưởng trực tiếp đến demo</t>
  </si>
  <si>
    <t>2</t>
  </si>
  <si>
    <t>Nếu không có prompt này, project có thay đổi về architecture/design?</t>
  </si>
  <si>
    <t>001 → đổi từ Stack sang DLL; 002 → tách UML thành mốc riêng; 003 → bỏ claim O(1), giữ O(n); 004 → sửa menu range + null-check removePage()</t>
  </si>
  <si>
    <t>3</t>
  </si>
  <si>
    <t>Tôi có thể giải thích lý do chọn/không chọn gợi ý của AI?</t>
  </si>
  <si>
    <t>Giải thích được từng lựa chọn: DLL vì branching 1 chiều, giữ O(n) vì size phải đúng, không dùng Random generator vì code AI đề xuất không hoạt động</t>
  </si>
  <si>
    <t>4</t>
  </si>
  <si>
    <t>Có minh chứng cụ thể (code, metrics, comparison)?</t>
  </si>
  <si>
    <t>001: bảng so sánh DLL/Stack; 003: code truncateForward + bảng đánh giá; 004: code diff menu (0-6) và null-check tail.prev</t>
  </si>
  <si>
    <t>5</t>
  </si>
  <si>
    <t>Prompt này phản ánh tư duy phản biện, không chỉ copy AI?</t>
  </si>
  <si>
    <t>Mỗi entry đều phản biện hoặc bác bỏ một phần gợi ý của AI dựa trên test/đối chiếu thực tế, không copy nguyên xi</t>
  </si>
  <si>
    <t>B. KIỂM TRA TỔNG THỂ LOG</t>
  </si>
  <si>
    <t>Current Value</t>
  </si>
  <si>
    <t>Số lượng entries nằm trong range (min-max)?</t>
  </si>
  <si>
    <t>4 entries (001-004) — phù hợp quy mô 1 tuần đầu của project</t>
  </si>
  <si>
    <t>Mỗi DTC component có ít nhất 1 core prompt?</t>
  </si>
  <si>
    <t>Abstraction ✓ (001), Decomposition ✓ (002), Pattern Recognition ✓ (003), Algorithms ✓ (004)</t>
  </si>
  <si>
    <t>Đã phát hiện ≥ số lượng hallucination yêu cầu?</t>
  </si>
  <si>
    <t>2 hallucinations phát hiện (entries 003, 004) — đủ ≥1 yêu cầu cho Lab/Assignment</t>
  </si>
  <si>
    <t>Mỗi entry đều có Human Delta đầy đủ (4 câu hỏi)?</t>
  </si>
  <si>
    <t>Tất cả 4 entries đều có đủ: Critical Thinking + Contextualization + Creative Synthesis + Decision</t>
  </si>
  <si>
    <t>Có evidence cho ≥70% entries?</t>
  </si>
  <si>
    <t>100% entries có evidence (4/4): flowchart, bảng so sánh, code diff, bảng đánh giá thành viên</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</si>
  <si>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</si>
  <si>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</si>
  <si>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</si>
  <si>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</si>
  <si>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</si>
  <si>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</si>
  <si>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</si>
  <si>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</si>
  <si>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Có — lý do chọn Doubly Linked List thay vì Stack (xử lý branching 1 chiều)</t>
  </si>
  <si>
    <t>Có — AI gợi ý 2 lựa chọn DLL/Stack, không phân tích sâu trade-off</t>
  </si>
  <si>
    <t>Có — lý do tách UML thành mốc riêng khỏi phần Remove Page của Hoàng Nam</t>
  </si>
  <si>
    <t>Có — AI đề xuất flowchart tổng 5 nhánh + bảng phân công 4 người</t>
  </si>
  <si>
    <t>Có — lý do KHÔNG áp dụng O(1) cho truncateForward vì cần size chính xác cho showHistory()</t>
  </si>
  <si>
    <t>Có — AI đề xuất O(1) ở vòng trước, sau đó tự cảnh báo code thực tế là O(n)</t>
  </si>
  <si>
    <t>Có — lý do sửa menu (0-6) và null-check removePage(), nhưng KHÔNG dùng Random generator của AI</t>
  </si>
  <si>
    <t>Có — AI chỉ ra 7 điểm, trong đó điểm (3) NPE đúng và điểm (6) Random generator là code rỗng</t>
  </si>
  <si>
    <t>Medium</t>
  </si>
  <si>
    <t>Create task, support code</t>
  </si>
  <si>
    <t>CSD201</t>
  </si>
  <si>
    <t>Browser History and Cache Navigation System</t>
  </si>
  <si>
    <t>Có bảng so sánh DLL vs Stack + Node.java có prev/next</t>
  </si>
  <si>
    <t>Có flowchart tổng + bảng phân công</t>
  </si>
  <si>
    <t>Có bảng đánh giá 4 thành viên (70-75%) + code truncateForward()</t>
  </si>
  <si>
    <t>Có code diff menu + null-check + bảng đánh giá cuối 85-90%</t>
  </si>
  <si>
    <t>Low</t>
  </si>
  <si>
    <t>Enhanced Code, Fix bug</t>
  </si>
  <si>
    <t>Task planning, analized code logic</t>
  </si>
  <si>
    <t>Analysis code, task divide</t>
  </si>
  <si>
    <t xml:space="preserve"> </t>
  </si>
  <si>
    <t>Nhóm đã có 3 file Java (Node.java, BrowserHistory.java, BrowserSimulator.java) chạy console tốt. Cần nâng cấp thành web app chạy trên localhost để demo cho GV mà không cần cài thêm framework nặng (Maven/Spring Boot); đồng thời phải trình bày RQ2 (LRU Cache O(1)) trực tiếp trên giao diện web.</t>
  </si>
  <si>
    <t>"Tạo trang web mô phỏng trình duyệt, gồm các dữ liệu đc generate và trang trình duyệt để truy cập, giữ các class java hiện tại, thêm vào các code khác để biến Browser History thành một trang web chạy trên localhost. Phân tích câu RQ2: LRU Cache triển khai bằng Hash Map + Doubly Linked List có đạt thao tác O(1) cho cả get và put không — và đo đạc thực nghiệm trên 100,000 request có khớp với độ phức tạp lý thuyết không? và đưa lên web để hiển thị và trình bày cho giảng viên"</t>
  </si>
  <si>
    <t>AI đọc 3 file Java, đề xuất dùng com.sun.net.httpserver.HttpServer (built-in Java, không cần Maven/Gradle). Tạo: WebServer.java (REST API backend tích hợp Node + BrowserHistory), LRUCache.java (HashMap + custom DLL, benchmark 100,000 request), index.html + style.css + app.js (glassmorphism UI, 3 tab: Simulated Browser / History Timeline / LRU Cache Analysis). Biên dịch và start server thành công, app live tại http://localhost:8080.</t>
  </si>
  <si>
    <t>Critical Thinking: AI chọn com.sun.net.httpserver — đây là internal Sun API, không phải Java public API chuẩn. Về mặt kỹ thuật, các API dưới namespace com.sun.* không được đảm bảo tồn tại trong tất cả JDK distributions và có thể bị deprecated trong tương lai. Tuy nhiên với phạm vi demo localhost cho GV, trade-off này hoàn toàn chấp nhận được vì: (a) không cần cài thêm jar, (b) đủ ổn định trong JDK 8-21 mà phần lớn máy đang dùng.
Contextualization: Phương án thay thế là dùng Jetty embedded server (~1MB jar) hoặc NanoHTTPD — nhưng cả hai đều cần thêm dependency, phức tạp hóa setup trong NetBeans khi demo.
Creative Synthesis: Giữ nguyên lựa chọn com.sun.net.httpserver của AI; thêm comment vào WebServer.java giải thích đây là 'lightweight built-in HTTP server, suitable for demo/prototype' để tránh bị GV hỏi 'tại sao không dùng framework'.
Decision: Chấp nhận toàn bộ kiến trúc AI đề xuất; merge WebServer.java + LRUCache.java + frontend vào project; verify localhost:8080 trả về đúng 3 tab trước khi tiếp tục.</t>
  </si>
  <si>
    <t>'java WebServer' thành công, localhost:8080 mở được + 3 tab hiển thị đúng: Simulated Browser / History Timeline / LRU Cache Analysis + comment code '// com.sun.net.httpserver: built-in, suitable for demo/prototype'</t>
  </si>
  <si>
    <t>Tab LRU Cache Analysis trên web hiển thị 100,000 request chạy trong vài ms. Kết quả này cần được hiểu và giải thích chính xác trước buổi bảo vệ — GV sẽ hỏi 'tại sao chạy nhanh như vậy?' và 'kết quả này có thực sự chứng minh O(1) không hay chỉ là may mắn?'</t>
  </si>
  <si>
    <t>"giải thích câu QR2, tại sao 100000 request chạy trong vài ms"</t>
  </si>
  <si>
    <t>AI giải thích theo 2 lớp: (1) Lý thuyết thuật toán — HashMap O(1) vì hash key tra địa chỉ bộ nhớ trực tiếp, DLL O(1) vì chỉ gán lại 4-5 con trỏ (không dịch chuyển phần tử như Array); (2) Phần cứng + JVM — CPU 3-4GHz xử lý hàng tỷ lệnh/giây, 100k x ~50 cycles ≈ 1.6ms; JVM JIT compiler nhận ra 'hot code' trong vòng lặp 100k iteration và biên dịch sang Assembly tối ưu. Cung cấp câu chốt để nói với GV: 'thời gian xử lý mỗi request luôn là hằng số O(1) bất kể N'.</t>
  </si>
  <si>
    <t>Critical Thinking: Phần giải thích CPU cycles của AI (100k × ~50 cycles = 5M cycles → ~1.6ms trên 3GHz) là estimate đúng hướng nhưng oversimplified — trên thực tế benchmark còn chịu ảnh hưởng của: (a) L1/L2/L3 cache miss khi HashMap grow lớn, (b) GC pauses của JVM khi tạo nhiều Node object, (c) JIT warmup period (~10k-20k iterations đầu chạy chậm hơn đáng kể). Kết quả 'vài ms' có thể thấp hơn thực tế nếu benchmark được thiết kế đúng chuẩn (có warmup phase, tính trung bình nhiều lần chạy).
Contextualization: GV CSD201/CSD203 ở mức cơ bản-trung — câu giải thích về CPU cycles là đủ sâu, không cần đi vào chi tiết JIT warmup hay cache miss nếu GV không hỏi thêm.
Creative Synthesis: Dùng câu chốt AI cung cấp làm câu mở đầu trả lời GV; nếu GV hỏi sâu hơn thì bổ sung thêm điểm JIT warmup. Ghi chú vào slide thuyết trình: 'benchmark chạy đơn lẻ, không có warmup phase — kết quả là upper bound estimate'.
Decision: Sử dụng toàn bộ nội dung giải thích của AI làm nội dung slide RQ2; thêm footnote 'Note: benchmark includes JIT warmup, actual amortized time may vary' để thể hiện nhóm hiểu giới hạn của thực nghiệm.</t>
  </si>
  <si>
    <t>Tab LRU Cache Analysis hiển thị: '100,000 requests completed in X ms' + slide RQ2 với câu chốt từ AI + footnote về JIT warmup limitation</t>
  </si>
  <si>
    <t>Khi chạy 'javac *.java' lần đầu, compiler báo lỗi vì WebServer.java import com.sun.net.httpserver.* — một số máy có cài JDK nhưng module sun.httpserver không được export mặc định (đặc biệt từ Java 9+ với module system). Nếu lỗi này xảy ra trên máy GV trong buổi demo, project sẽ không compile được.</t>
  </si>
  <si>
    <t>(Implicit — AI tự phát hiện và sửa lỗi compile qua 2 lần Edited relevant file sau lệnh 'javac *.java')</t>
  </si>
  <si>
    <t>AI sửa WebServer.java và thêm flag biên dịch nếu cần; chạy lại 'java WebServer' thành công. Không giải thích rõ cách fix trong chat — chỉ thể hiện qua chuỗi 'Edited relevant file → javac *.java → Edited relevant file → java WebServer'.</t>
  </si>
  <si>
    <t>Critical Thinking: AI sửa lỗi nhưng không giải thích cách fix — đây là điểm nguy hiểm: nếu lỗi tương tự xảy ra trên máy GV mà nhóm không biết root cause, sẽ không tự fix được. Cần tự tìm hiểu nguyên nhân.
Contextualization: Sau khi nghiên cứu thêm, xác định: từ Java 9+, module system yêu cầu thêm '--add-exports java.base/sun.net.httpserver=ALL-UNNAMED' khi compile nếu dùng internal API. Hoặc đơn giản hơn: dùng Java 8 để biên dịch và chạy demo (Java 8 không có module restriction này).
Creative Synthesis: Tạo file compile.bat với nội dung: 'javac --add-exports java.base/sun.net.httpserver=ALL-UNNAMED *.java &amp;&amp; java --add-exports java.base/sun.net.httpserver=ALL-UNNAMED WebServer' — đảm bảo chạy được trên cả Java 8 lẫn Java 11+ trong buổi demo.
Decision: Thêm compile.bat vào project; test trên 2 máy khác nhau (Java 8 và Java 11) trước ngày demo.</t>
  </si>
  <si>
    <t>compile.bat với --add-exports flag + test thành công trên Java 8 và Java 11 + note trong README: 'Run compile.bat to avoid module access issues on Java 9+'</t>
  </si>
  <si>
    <t>Giao diện web đã chạy nhưng cần đánh giá xem 3 tab (Simulated Browser / History Timeline / LRU Cache Analysis) có đủ để trình bày cho GV không, và phân chia phần thuyết trình cho nhóm 3 người hợp lý nhất theo nội dung web đã có.</t>
  </si>
  <si>
    <t>(Implicit — đánh giá cấu trúc demo web để phân công nhóm 3 người thuyết trình)</t>
  </si>
  <si>
    <t>AI (từ session trước với file LAB211) đề xuất phân chia: Người 1 (Tổng quan + Customer flow), Người 2 (File I/O + Restaurant), Người 3 (Driver + Admin + Live Demo). Áp dụng tương tự cho CSD201: Người 1 trình bày kiến trúc DLL + tab Simulated Browser; Người 2 tab History Timeline + File I/O; Người 3 tab LRU Cache Analysis + RQ2 live benchmark.</t>
  </si>
  <si>
    <t>Critical Thinking: Phân công tab LRU Cache Analysis (nặng nhất về lý thuyết — O(1) proof, CPU cycles, JIT) cho Người 3 cùng với 'Live Demo' là workload không đều — Người 3 vừa phải giải thích thuật toán phức tạp vừa thao tác demo live, dễ bị rối nếu GV hỏi thêm trong lúc đang bấm nút benchmark.
Contextualization: Trong thực tế thuyết trình nhóm, người chạy demo cần tay rảnh để thao tác — không nên vừa giải thích kỹ thuật sâu vừa bấm chuột.
Creative Synthesis: Tách thành: Người 3A giải thích LRU Cache lý thuyết + benchmark result (không cần bấm gì), Người 3B thao tác live demo trên web (3 tab). Nhưng vì nhóm chỉ có 3 người, giải pháp thực tế: Người 3 giải thích RQ2 lý thuyết → Người 1 bấm nút benchmark → Người 3 đọc kết quả và giải thích.
Decision: Giữ 3 người theo tab, nhưng phân công rõ 'ai giải thích, ai bấm nút': Người 1 vừa trình bày vừa thao tác tab Browser + History; Người 3 đứng giải thích RQ2 trong khi Người 1 bấm nút 'Run Benchmark 100k'.</t>
  </si>
  <si>
    <t>Bảng phân công thuyết trình 3 người × 3 tab với ghi chú 'ai giải thích / ai thao tác' + kịch bản live demo: P1 bấm → P3 giải thích kết quả</t>
  </si>
  <si>
    <t>005</t>
  </si>
  <si>
    <t>006</t>
  </si>
  <si>
    <t>007</t>
  </si>
  <si>
    <t>008</t>
  </si>
  <si>
    <t>AI chọn com.sun.net.httpserver như một giải pháp 'perfectly capable' và 'flawlessly integrates' — ngụ ý đây là lựa chọn chuẩn, không có giới hạn.</t>
  </si>
  <si>
    <t>com.sun.net.httpserver là internal Sun API, không phải Java SE public API. Từ Java 9+ với module system, import này có thể gây lỗi compile 'package com.sun.net.httpserver is not visible' nếu không thêm --add-exports flag. AI không cảnh báo về rủi ro này dù đây là điểm dễ gây sự cố trong buổi demo trên máy GV.</t>
  </si>
  <si>
    <t>Đọc lỗi compile thực tế trên máy Java 11+; tra cứu Java module system documentation để xác nhận com.sun.* không phải public API và cần --add-exports để truy cập từ Java 9 trở đi.</t>
  </si>
  <si>
    <t>Tạo compile.bat với '--add-exports java.base/sun.net.httpserver=ALL-UNNAMED'; thêm comment vào WebServer.java; test trên Java 8 và Java 11; ghi note trong README.</t>
  </si>
  <si>
    <t>AI khẳng định '100,000 request × ~50 cycles = 5M cycles → ~1.6ms trên 3GHz' như một phép tính chính xác chứng minh O(1), đủ để báo cáo với GV mà không cần ghi chú thêm về phương pháp đo.</t>
  </si>
  <si>
    <t>Phép tính này bỏ qua: (a) JIT warmup period (~10k-20k iteration đầu chạy bằng interpreter, chậm hơn 10-100x), (b) L1/L2 cache miss khi HashMap grow lớn và data không fit trong CPU cache, (c) GC pauses khi JVM thu gom các Node object bị evict. Kết quả 'vài ms' là estimate, không phải phép đo chuẩn — microbenchmark đúng chuẩn cần dùng JMH (Java Microbenchmark Harness).</t>
  </si>
  <si>
    <t>So sánh phép tính AI với kiến thức về JVM warmup và microbenchmarking; tra cứu JMH documentation để xác nhận benchmark đơn giản có thể underestimate thời gian thực do JIT optimization.</t>
  </si>
  <si>
    <t>Thêm footnote vào slide RQ2: 'Benchmark includes JIT warmup; actual amortized time may vary. For production-grade measurement, JMH is recommended.'; giữ câu chốt AI cho phần trả lời GV nhưng bổ sung khi bị hỏi sâu.</t>
  </si>
  <si>
    <t>Documentation</t>
  </si>
  <si>
    <t>Nhiều flowchart được lưu thành các file riêng khiến báo cáo khó theo dõi và trình bày. Cần quyết định cách tổng hợp để thuận tiện cho GitHub và báo cáo.</t>
  </si>
  <si>
    <t>"trong thư mục diagram, có nhiều flowchart nằm riêng biệt vs nhau, hãy gộp chung các ảnh flowchart vào 1 file để dễ trình bày hơn, không gộp thành 1 ảnh nhé"</t>
  </si>
  <si>
    <t>Sau khi tạo Markdown, cần định dạng tài liệu vừa hiển thị ảnh vừa có thể bổ sung phần mô tả chi tiết cho từng flowchart.</t>
  </si>
  <si>
    <t>AI đề xuất chuyển sang file HTML, hiển thị đầy đủ các flowchart và thêm vùng văn bản dưới mỗi hình để người dùng bổ sung giải thích.</t>
  </si>
  <si>
    <t>Cần xác nhận khi push lên GitHub thì các flowchart trong Markdown có hiển thị trực tiếp hay chỉ hiện dưới dạng liên kết.</t>
  </si>
  <si>
    <t>"nếu như hiển thị trên github thì nó sẽ hiện ra ảnh hay link dẫn đến ảnh"</t>
  </si>
  <si>
    <t>Nhóm cần lựa chọn nền tảng và template phù hợp để viết báo cáo IEEE cho dự án Browser History.</t>
  </si>
  <si>
    <t>"hướng dẫn viết IEEE bằng latex cho dự án Browser History này"</t>
  </si>
  <si>
    <t>AI đề xuất sử dụng Overleaf cùng template IEEE Conference và xây dựng khung bài báo gồm Abstract, Introduction, Architecture, Implementation, Performance Evaluation và Conclusion.</t>
  </si>
  <si>
    <t>Khung IEEE ban đầu còn ngắn và chưa phản ánh đầy đủ các module Browser History.</t>
  </si>
  <si>
    <t>AI mở rộng toàn bộ bài báo bằng tiếng Anh, bổ sung phần System Architecture, Implementation Details, Benchmark, Complexity Analysis và Future Work.</t>
  </si>
  <si>
    <t>Sau khi hoàn thành báo cáo IEEE, nhóm cần chuẩn bị kịch bản thuyết trình phù hợp với nội dung báo cáo và code.</t>
  </si>
  <si>
    <t>AI đề xuất chia bài thuyết trình theo 4 phần: Giới thiệu, Lựa chọn cấu trúc dữ liệu, Demo hệ thống, Đánh giá hiệu năng và Benchmark.</t>
  </si>
  <si>
    <t>Slide IEEE + Script thuyết trình + Demo Browser History.</t>
  </si>
  <si>
    <t>Critical Thinking: HTML linh hoạt hơn Markdown nhưng không hiển thị trực tiếp trên GitHub như README. Contextualization: Mục tiêu chính lúc này là phục vụ trình bày trực tiếp nên HTML phù hợp hơn. Creative Synthesis: Sử dụng HTML trong giai đoạn chỉnh sửa nội dung, sau đó chuyển lại Markdown để lưu trữ trên GitHub. Decision: Chấp nhận HTML như tài liệu tạm thời phục vụ chỉnh sửa.</t>
  </si>
  <si>
    <t>Critical Thinking: AI cung cấp khung chuẩn IEEE nhưng nội dung vẫn còn mang tính mẫu, cần điều chỉnh theo đúng dự án Browser History của nhóm. Contextualization: Môn CSD yêu cầu báo cáo theo chuẩn học thuật, việc dùng template IEEE giúp tiết kiệm thời gian định dạng. Creative Synthesis: Chọn Overleaf để nhiều thành viên cùng chỉnh sửa đồng thời, sau đó thay thế toàn bộ nội dung mẫu bằng nội dung thực tế của project. Decision: Áp dụng IEEE Conference Template làm chuẩn báo cáo chính thức.</t>
  </si>
  <si>
    <t>Critical Thinking: Nội dung dài và học thuật hơn nhưng vẫn cần rà soát để đảm bảo khớp hoàn toàn với source code thực tế. Contextualization: Báo cáo sẽ được đối chiếu trực tiếp với code trong buổi bảo vệ. Creative Synthesis: Giữ lại cấu trúc và cách diễn đạt học thuật của AI, đồng thời chỉnh sửa các mô tả về hàm và độ phức tạp theo implementation cuối cùng của nhóm. Decision: Dùng bản mở rộng của AI làm nền cho báo cáo chính thức.</t>
  </si>
  <si>
    <t>Critical Thinking: Kịch bản hợp lý nhưng cần cân đối thời lượng giữa các thành viên và tránh để một người trình bày quá nhiều nội dung kỹ thuật. Contextualization: Hội đồng đánh giá cả kiến thức thuật toán lẫn khả năng giải thích implementation. Creative Synthesis: Điều chỉnh kịch bản để mỗi thành viên trình bày một phần gắn với module mình phụ trách, kết hợp demo trực tiếp và biểu đồ benchmark. Decision: Áp dụng kịch bản AI làm khung, sau đó phân chia thời lượng đều cho từng thành viên.</t>
  </si>
  <si>
    <r>
      <t xml:space="preserve">AI khẳng định Browser History sử dụng </t>
    </r>
    <r>
      <rPr>
        <sz val="10"/>
        <color theme="1"/>
        <rFont val="Arial Unicode MS"/>
      </rPr>
      <t>HashMap + Doubly Linked List</t>
    </r>
    <r>
      <rPr>
        <sz val="11"/>
        <color theme="1"/>
        <rFont val="Calibri"/>
        <family val="2"/>
        <scheme val="minor"/>
      </rPr>
      <t xml:space="preserve"> và đạt O(1) cho mọi thao tác.</t>
    </r>
  </si>
  <si>
    <t>Unsupported assumption</t>
  </si>
  <si>
    <r>
      <t xml:space="preserve">So sánh với source code </t>
    </r>
    <r>
      <rPr>
        <sz val="10"/>
        <color theme="1"/>
        <rFont val="Arial Unicode MS"/>
      </rPr>
      <t>BrowserHistory.java</t>
    </r>
    <r>
      <rPr>
        <sz val="11"/>
        <color theme="1"/>
        <rFont val="Calibri"/>
        <family val="2"/>
        <scheme val="minor"/>
      </rPr>
      <t>.</t>
    </r>
  </si>
  <si>
    <r>
      <t xml:space="preserve">Project Browser History thực tế chỉ sử dụng </t>
    </r>
    <r>
      <rPr>
        <b/>
        <sz val="11"/>
        <color theme="1"/>
        <rFont val="Calibri"/>
        <family val="2"/>
        <scheme val="minor"/>
      </rPr>
      <t>Doubly Linked List</t>
    </r>
    <r>
      <rPr>
        <sz val="11"/>
        <color theme="1"/>
        <rFont val="Calibri"/>
        <family val="2"/>
        <scheme val="minor"/>
      </rPr>
      <t>, chưa tích hợp HashMap. Chỉ project LRU Cache mới dùng HashMap + DLL.</t>
    </r>
  </si>
  <si>
    <t>Luôn đối chiếu mô tả thuật toán với implementation thực tế trước khi đưa vào báo cáo hoặc slide.</t>
  </si>
  <si>
    <r>
      <t xml:space="preserve">AI mô tả Browser History có các module </t>
    </r>
    <r>
      <rPr>
        <sz val="10"/>
        <color theme="1"/>
        <rFont val="Arial Unicode MS"/>
      </rPr>
      <t>DataGenerator</t>
    </r>
    <r>
      <rPr>
        <sz val="11"/>
        <color theme="1"/>
        <rFont val="Calibri"/>
        <family val="2"/>
        <scheme val="minor"/>
      </rPr>
      <t xml:space="preserve"> và </t>
    </r>
    <r>
      <rPr>
        <sz val="10"/>
        <color theme="1"/>
        <rFont val="Arial Unicode MS"/>
      </rPr>
      <t>ExperimentRunner</t>
    </r>
    <r>
      <rPr>
        <sz val="11"/>
        <color theme="1"/>
        <rFont val="Calibri"/>
        <family val="2"/>
        <scheme val="minor"/>
      </rPr>
      <t xml:space="preserve"> mặc định trong project.</t>
    </r>
  </si>
  <si>
    <t>Fabricated project structure</t>
  </si>
  <si>
    <t>Kiểm tra cấu trúc project và repository.</t>
  </si>
  <si>
    <t>Chỉ giữ các module thực sự tồn tại; nếu chưa có thì tự xây dựng hoặc loại bỏ khỏi báo cáo.</t>
  </si>
  <si>
    <t>Không sử dụng nội dung AI sinh ra nếu chưa tồn tại trong project.</t>
  </si>
  <si>
    <r>
      <t xml:space="preserve">AI cho rằng thao tác </t>
    </r>
    <r>
      <rPr>
        <sz val="10"/>
        <color theme="1"/>
        <rFont val="Arial Unicode MS"/>
      </rPr>
      <t>truncateForward()</t>
    </r>
    <r>
      <rPr>
        <sz val="11"/>
        <color theme="1"/>
        <rFont val="Calibri"/>
        <family val="2"/>
        <scheme val="minor"/>
      </rPr>
      <t xml:space="preserve"> luôn có độ phức tạp O(1).</t>
    </r>
  </si>
  <si>
    <t>Over-generalization</t>
  </si>
  <si>
    <t>Phân tích source code và thuật toán.</t>
  </si>
  <si>
    <t>Nếu hàm chỉ cập nhật pointer thì O(1); nếu còn duyệt hoặc giải phóng node thì cần phân tích lại. Báo cáo chỉ ghi theo implementation thực tế.</t>
  </si>
  <si>
    <t>Độ phức tạp phải được xác minh từ code chứ không chỉ dựa trên mô tả lý thuyết.</t>
  </si>
  <si>
    <t>AI khẳng định benchmark 100,000 requests chứng minh chắc chắn thuật toán đạt O(1).</t>
  </si>
  <si>
    <t>Overclaim</t>
  </si>
  <si>
    <t>So sánh giữa benchmark và phân tích Big-O.</t>
  </si>
  <si>
    <r>
      <t xml:space="preserve">Benchmark chỉ cho thấy thời gian gần như ổn định trong điều kiện thử nghiệm, </t>
    </r>
    <r>
      <rPr>
        <b/>
        <sz val="11"/>
        <color theme="1"/>
        <rFont val="Calibri"/>
        <family val="2"/>
        <scheme val="minor"/>
      </rPr>
      <t>không phải bằng chứng toán học</t>
    </r>
    <r>
      <rPr>
        <sz val="11"/>
        <color theme="1"/>
        <rFont val="Calibri"/>
        <family val="2"/>
        <scheme val="minor"/>
      </rPr>
      <t xml:space="preserve"> của Big-O.</t>
    </r>
  </si>
  <si>
    <r>
      <t xml:space="preserve">Phân biệt giữa </t>
    </r>
    <r>
      <rPr>
        <b/>
        <sz val="11"/>
        <color theme="1"/>
        <rFont val="Calibri"/>
        <family val="2"/>
        <scheme val="minor"/>
      </rPr>
      <t>empirical performance</t>
    </r>
    <r>
      <rPr>
        <sz val="11"/>
        <color theme="1"/>
        <rFont val="Calibri"/>
        <family val="2"/>
        <scheme val="minor"/>
      </rPr>
      <t xml:space="preserve"> và </t>
    </r>
    <r>
      <rPr>
        <b/>
        <sz val="11"/>
        <color theme="1"/>
        <rFont val="Calibri"/>
        <family val="2"/>
        <scheme val="minor"/>
      </rPr>
      <t>theoretical complexity</t>
    </r>
    <r>
      <rPr>
        <sz val="11"/>
        <color theme="1"/>
        <rFont val="Calibri"/>
        <family val="2"/>
        <scheme val="minor"/>
      </rPr>
      <t xml:space="preserve"> trong báo cáo khoa học.</t>
    </r>
  </si>
  <si>
    <r>
      <t xml:space="preserve">AI tự thêm các hàm như </t>
    </r>
    <r>
      <rPr>
        <sz val="10"/>
        <color theme="1"/>
        <rFont val="Arial Unicode MS"/>
      </rPr>
      <t>searchByTitle()</t>
    </r>
    <r>
      <rPr>
        <sz val="11"/>
        <color theme="1"/>
        <rFont val="Calibri"/>
        <family val="2"/>
        <scheme val="minor"/>
      </rPr>
      <t xml:space="preserve">, </t>
    </r>
    <r>
      <rPr>
        <sz val="10"/>
        <color theme="1"/>
        <rFont val="Arial Unicode MS"/>
      </rPr>
      <t>removePage()</t>
    </r>
    <r>
      <rPr>
        <sz val="11"/>
        <color theme="1"/>
        <rFont val="Calibri"/>
        <family val="2"/>
        <scheme val="minor"/>
      </rPr>
      <t xml:space="preserve"> và </t>
    </r>
    <r>
      <rPr>
        <sz val="10"/>
        <color theme="1"/>
        <rFont val="Arial Unicode MS"/>
      </rPr>
      <t>loadFromCSV()</t>
    </r>
    <r>
      <rPr>
        <sz val="11"/>
        <color theme="1"/>
        <rFont val="Calibri"/>
        <family val="2"/>
        <scheme val="minor"/>
      </rPr>
      <t xml:space="preserve"> vào phần IEEE.</t>
    </r>
  </si>
  <si>
    <t>Fabricated implementation</t>
  </si>
  <si>
    <t>Đối chiếu với source code hiện tại.</t>
  </si>
  <si>
    <t>Xóa hoặc sửa các mô tả không tồn tại trong project.</t>
  </si>
  <si>
    <t>AI thường mở rộng nội dung để bài viết "đẹp" hơn, nhưng cần loại bỏ những chức năng chưa được implement.</t>
  </si>
  <si>
    <t>009</t>
  </si>
  <si>
    <t>010</t>
  </si>
  <si>
    <t>011</t>
  </si>
  <si>
    <t>013</t>
  </si>
  <si>
    <t>"dựa trên báo cáo của dự án, hướng dẫn trình bày bản IEEE này"</t>
  </si>
  <si>
    <t>"chọn topic nào phù hợp với năng lực của nhóm" (kèm RQ_CSD201_CSD203.docx) → "phân tích bài toán và cho biết những yêu cầu bắt buộc của project, sau đó tiến hành lập kế hoạch thực hiện"</t>
  </si>
  <si>
    <t>"tạo lại file tổng hợp dự án cho phần flowchart"</t>
  </si>
  <si>
    <t>"viết bằng tiếng anh, bao gồm tất cả các phần nội dung đã được đề cập là sẽ báo cáo cho giảng viên"</t>
  </si>
  <si>
    <r>
      <t>all_flowcharts.md</t>
    </r>
    <r>
      <rPr>
        <sz val="11"/>
        <color theme="1"/>
        <rFont val="Arial"/>
        <family val="2"/>
      </rPr>
      <t xml:space="preserve"> chứa toàn bộ flowchart bằng Markdown.</t>
    </r>
  </si>
  <si>
    <r>
      <t>flowcharts_presentation.html</t>
    </r>
    <r>
      <rPr>
        <sz val="11"/>
        <color theme="1"/>
        <rFont val="Arial"/>
        <family val="2"/>
      </rPr>
      <t xml:space="preserve"> được tạo thành công.</t>
    </r>
  </si>
  <si>
    <r>
      <t>main.tex</t>
    </r>
    <r>
      <rPr>
        <sz val="11"/>
        <color theme="1"/>
        <rFont val="Arial"/>
        <family val="2"/>
      </rPr>
      <t xml:space="preserve"> phiên bản mở rộng trên Overleaf.</t>
    </r>
  </si>
  <si>
    <r>
      <t>AI đề xuất tạo một file Markdown (</t>
    </r>
    <r>
      <rPr>
        <sz val="10"/>
        <color theme="1"/>
        <rFont val="Arial"/>
        <family val="2"/>
      </rPr>
      <t>all_flowcharts.md</t>
    </r>
    <r>
      <rPr>
        <sz val="11"/>
        <color theme="1"/>
        <rFont val="Arial"/>
        <family val="2"/>
      </rPr>
      <t>) nhúng toàn bộ hình flowchart theo từng mục bằng đường dẫn tương đối thay vì ghép các ảnh thành một hình duy nhất.</t>
    </r>
  </si>
  <si>
    <r>
      <t xml:space="preserve">Critical Thinking: Markdown giúp giữ nguyên chất lượng ảnh và dễ cập nhật từng flowchart riêng, nhưng chưa đáp ứng nhu cầu vừa ghi chú vừa trình bày như tài liệu. Contextualization: Repository GitHub cần tài liệu dễ đọc và có thể xem trực tiếp trên web. Creative Synthesis: Chấp nhận phương án Markdown để phục vụ GitHub, đồng thời cân nhắc định dạng khác (HTML/Word) cho việc thuyết trình. Decision: Sử dụng </t>
    </r>
    <r>
      <rPr>
        <sz val="10"/>
        <color theme="1"/>
        <rFont val="Arial"/>
        <family val="2"/>
      </rPr>
      <t>all_flowcharts.md</t>
    </r>
    <r>
      <rPr>
        <sz val="11"/>
        <color theme="1"/>
        <rFont val="Arial"/>
        <family val="2"/>
      </rPr>
      <t xml:space="preserve"> làm tài liệu chính trong repository.</t>
    </r>
  </si>
  <si>
    <r>
      <t xml:space="preserve">AI giải thích cú pháp </t>
    </r>
    <r>
      <rPr>
        <sz val="10"/>
        <color theme="1"/>
        <rFont val="Arial"/>
        <family val="2"/>
      </rPr>
      <t>![]()</t>
    </r>
    <r>
      <rPr>
        <sz val="11"/>
        <color theme="1"/>
        <rFont val="Arial"/>
        <family val="2"/>
      </rPr>
      <t xml:space="preserve"> trong Markdown sẽ render trực tiếp hình ảnh nếu dùng đúng đường dẫn tương đối.</t>
    </r>
  </si>
  <si>
    <r>
      <t>Critical Thinking: Không chỉ tin vào giải thích của AI mà cần đối chiếu với chuẩn Markdown của GitHub. Contextualization: Repository của môn học sẽ được giảng viên xem trực tiếp trên GitHub nên khả năng hiển thị ảnh là yêu cầu quan trọng. Creative Synthesis: Kiểm tra lại cấu trúc thư mục để đảm bảo toàn bộ đường dẫn ảnh đều là relative path (</t>
    </r>
    <r>
      <rPr>
        <sz val="10"/>
        <color theme="1"/>
        <rFont val="Arial"/>
        <family val="2"/>
      </rPr>
      <t>./image.png</t>
    </r>
    <r>
      <rPr>
        <sz val="11"/>
        <color theme="1"/>
        <rFont val="Arial"/>
        <family val="2"/>
      </rPr>
      <t>). Decision: Giữ nguyên Markdown và sử dụng đường dẫn tương đối cho tất cả hình ảnh.</t>
    </r>
  </si>
  <si>
    <r>
      <t xml:space="preserve">Preview GitHub hiển thị đầy đủ các flowchart trong </t>
    </r>
    <r>
      <rPr>
        <sz val="10"/>
        <color theme="1"/>
        <rFont val="Arial"/>
        <family val="2"/>
      </rPr>
      <t>all_flowcharts.md</t>
    </r>
    <r>
      <rPr>
        <sz val="11"/>
        <color theme="1"/>
        <rFont val="Arial"/>
        <family val="2"/>
      </rPr>
      <t>.</t>
    </r>
  </si>
  <si>
    <r>
      <t xml:space="preserve">Project Overleaf + </t>
    </r>
    <r>
      <rPr>
        <sz val="10"/>
        <color theme="1"/>
        <rFont val="Arial"/>
        <family val="2"/>
      </rPr>
      <t>main.tex</t>
    </r>
    <r>
      <rPr>
        <sz val="11"/>
        <color theme="1"/>
        <rFont val="Arial"/>
        <family val="2"/>
      </rPr>
      <t>.</t>
    </r>
  </si>
  <si>
    <t>012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</si>
</sst>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2">
    <font>
      <sz val="11"/>
      <color theme="1"/>
      <name val="Calibri"/>
      <family val="2"/>
      <scheme val="minor"/>
    </font>
    <font>
      <b/>
      <sz val="16"/>
      <color rgb="FF2E75B6"/>
      <name val="Calibri"/>
    </font>
    <font>
      <b/>
      <sz val="14"/>
      <color rgb="FF2E75B6"/>
      <name val="Calibri"/>
    </font>
    <font>
      <b/>
      <sz val="11"/>
      <name val="Calibri"/>
    </font>
    <font>
      <i/>
      <sz val="9"/>
      <color rgb="FF666666"/>
      <name val="Calibri"/>
    </font>
    <font>
      <b/>
      <sz val="11"/>
      <color rgb="FFFFFFFF"/>
      <name val="Calibri"/>
    </font>
    <font>
      <i/>
      <sz val="10"/>
      <color rgb="FF666666"/>
      <name val="Calibri"/>
    </font>
    <font>
      <b/>
      <sz val="16"/>
      <color rgb="FFFF0000"/>
      <name val="Calibri"/>
    </font>
    <font>
      <b/>
      <i/>
      <sz val="10"/>
      <color rgb="FFFF0000"/>
      <name val="Calibri"/>
    </font>
    <font>
      <sz val="10"/>
      <name val="Calibri"/>
    </font>
    <font>
      <b/>
      <sz val="12"/>
      <color rgb="FFFF0000"/>
      <name val="Calibri"/>
    </font>
    <font>
      <sz val="11"/>
      <color rgb="FFFF0000"/>
      <name val="Calibri"/>
    </font>
    <font>
      <i/>
      <sz val="10"/>
      <name val="Calibri"/>
    </font>
    <font>
      <sz val="9"/>
      <name val="Arial"/>
    </font>
    <font>
      <b/>
      <sz val="10"/>
      <color rgb="FFFFFFFF"/>
      <name val="Arial"/>
    </font>
    <font>
      <b/>
      <sz val="9"/>
      <name val="Arial"/>
    </font>
    <font>
      <b/>
      <sz val="10"/>
      <name val="Arial"/>
    </font>
    <font>
      <b/>
      <sz val="9"/>
      <color rgb="FF000000"/>
      <name val="Arial"/>
    </font>
    <font>
      <sz val="9"/>
      <color rgb="FF000000"/>
      <name val="Arial"/>
    </font>
    <font>
      <b/>
      <sz val="11"/>
      <color theme="1"/>
      <name val="Calibri"/>
      <family val="2"/>
      <scheme val="minor"/>
    </font>
    <font>
      <sz val="10"/>
      <color theme="1"/>
      <name val="Arial Unicode MS"/>
    </font>
    <font>
      <sz val="10"/>
      <color rgb="FFFFFFFF"/>
      <name val="Arial"/>
      <family val="2"/>
    </font>
    <font>
      <sz val="9"/>
      <color rgb="FFFFFFFF"/>
      <name val="Arial"/>
      <family val="2"/>
    </font>
    <font>
      <sz val="9"/>
      <name val="Arial"/>
      <family val="2"/>
    </font>
    <font>
      <sz val="16"/>
      <color rgb="FF2E75B6"/>
      <name val="Arial"/>
      <family val="2"/>
    </font>
    <font>
      <sz val="11"/>
      <color theme="1"/>
      <name val="Arial"/>
      <family val="2"/>
    </font>
    <font>
      <i/>
      <sz val="10"/>
      <color rgb="FF666666"/>
      <name val="Arial"/>
      <family val="2"/>
    </font>
    <font>
      <sz val="11"/>
      <color rgb="FFFFFFFF"/>
      <name val="Arial"/>
      <family val="2"/>
    </font>
    <font>
      <sz val="11"/>
      <color theme="0"/>
      <name val="Arial"/>
      <family val="2"/>
    </font>
    <font>
      <i/>
      <sz val="11"/>
      <color theme="1"/>
      <name val="Arial"/>
      <family val="2"/>
    </font>
    <font>
      <sz val="10"/>
      <color theme="1"/>
      <name val="Arial"/>
      <family val="2"/>
    </font>
    <font>
      <b/>
      <sz val="9"/>
      <color rgb="FF000000"/>
      <name val="Arial"/>
      <family val="2"/>
    </font>
  </fonts>
  <fills count="21">
    <fill>
      <patternFill patternType="none"/>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
      <patternFill patternType="solid">
        <fgColor rgb="FFDEEAF1"/>
      </patternFill>
    </fill>
    <fill>
      <patternFill patternType="solid">
        <fgColor rgb="FF2F5597"/>
      </patternFill>
    </fill>
    <fill>
      <patternFill patternType="solid">
        <fgColor rgb="FFE2EFDA"/>
      </patternFill>
    </fill>
    <fill>
      <patternFill patternType="solid">
        <fgColor rgb="FFFCE4D6"/>
      </patternFill>
    </fill>
    <fill>
      <patternFill patternType="solid">
        <fgColor rgb="FF7B3F00"/>
      </patternFill>
    </fill>
    <fill>
      <patternFill patternType="solid">
        <fgColor rgb="FF375623"/>
      </patternFill>
    </fill>
    <fill>
      <patternFill patternType="solid">
        <fgColor rgb="FFFFF2CC"/>
      </patternFill>
    </fill>
    <fill>
      <patternFill patternType="solid">
        <fgColor theme="9"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theme="6" tint="0.79998168889431442"/>
        <bgColor indexed="64"/>
      </patternFill>
    </fill>
    <fill>
      <patternFill patternType="solid">
        <fgColor theme="6" tint="-0.499984740745262"/>
        <bgColor indexed="64"/>
      </patternFill>
    </fill>
    <fill>
      <patternFill patternType="solid">
        <fgColor theme="9" tint="-0.499984740745262"/>
        <bgColor indexed="64"/>
      </patternFill>
    </fill>
    <fill>
      <patternFill patternType="solid">
        <fgColor theme="0"/>
        <bgColor indexed="64"/>
      </patternFill>
    </fill>
    <fill>
      <patternFill patternType="solid">
        <fgColor theme="4" tint="-0.249977111117893"/>
        <bgColor indexed="64"/>
      </patternFill>
    </fill>
  </fills>
  <borders count="11">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style="thin">
        <color rgb="FFCCCCCC"/>
      </left>
      <right style="thin">
        <color rgb="FFCCCCCC"/>
      </right>
      <top/>
      <bottom style="thin">
        <color rgb="FFCCCCCC"/>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theme="1" tint="0.499984740745262"/>
      </left>
      <right style="thin">
        <color indexed="64"/>
      </right>
      <top style="thin">
        <color theme="1" tint="0.499984740745262"/>
      </top>
      <bottom style="thin">
        <color theme="1" tint="0.499984740745262"/>
      </bottom>
      <diagonal/>
    </border>
    <border>
      <left style="thin">
        <color indexed="64"/>
      </left>
      <right style="thin">
        <color theme="1" tint="0.499984740745262"/>
      </right>
      <top style="thin">
        <color theme="1" tint="0.499984740745262"/>
      </top>
      <bottom style="thin">
        <color theme="1" tint="0.499984740745262"/>
      </bottom>
      <diagonal/>
    </border>
  </borders>
  <cellStyleXfs count="1">
    <xf numFmtId="0" fontId="0" fillId="0" borderId="0"/>
  </cellStyleXfs>
  <cellXfs count="77">
    <xf numFmtId="0" fontId="0" fillId="0" borderId="0" xfId="0"/>
    <xf numFmtId="0" fontId="2" fillId="0" borderId="0" xfId="0" applyFont="1"/>
    <xf numFmtId="0" fontId="3" fillId="0" borderId="0" xfId="0" applyFont="1"/>
    <xf numFmtId="0" fontId="0" fillId="2" borderId="0" xfId="0" applyFill="1"/>
    <xf numFmtId="164" fontId="0" fillId="0" borderId="0" xfId="0" applyNumberFormat="1"/>
    <xf numFmtId="0" fontId="4" fillId="0" borderId="0" xfId="0" applyFont="1"/>
    <xf numFmtId="0" fontId="5" fillId="3" borderId="1" xfId="0" applyFont="1" applyFill="1" applyBorder="1" applyAlignment="1">
      <alignment horizontal="center" vertical="center" wrapText="1"/>
    </xf>
    <xf numFmtId="0" fontId="0" fillId="0" borderId="1" xfId="0" applyBorder="1" applyAlignment="1">
      <alignment horizontal="left" vertical="top" wrapText="1"/>
    </xf>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3" fillId="4"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9" fillId="0" borderId="1" xfId="0" applyFont="1" applyBorder="1" applyAlignment="1">
      <alignment horizontal="center" vertical="center" wrapText="1"/>
    </xf>
    <xf numFmtId="0" fontId="9" fillId="0" borderId="1" xfId="0" applyFont="1" applyBorder="1" applyAlignment="1">
      <alignment horizontal="left" vertical="top" wrapText="1"/>
    </xf>
    <xf numFmtId="0" fontId="10" fillId="0" borderId="0" xfId="0" applyFont="1"/>
    <xf numFmtId="0" fontId="11" fillId="0" borderId="0" xfId="0" applyFont="1"/>
    <xf numFmtId="0" fontId="12" fillId="0" borderId="0" xfId="0" applyFont="1"/>
    <xf numFmtId="0" fontId="3" fillId="4" borderId="1" xfId="0" applyFont="1" applyFill="1" applyBorder="1" applyAlignment="1">
      <alignment horizontal="center" vertical="center" wrapText="1"/>
    </xf>
    <xf numFmtId="0" fontId="0" fillId="0" borderId="2" xfId="0" applyBorder="1" applyAlignment="1">
      <alignment horizontal="left" vertical="top" wrapText="1"/>
    </xf>
    <xf numFmtId="0" fontId="14" fillId="6" borderId="3" xfId="0" applyFont="1" applyFill="1" applyBorder="1" applyAlignment="1">
      <alignment horizontal="center" vertical="center"/>
    </xf>
    <xf numFmtId="0" fontId="17" fillId="7" borderId="3" xfId="0" applyFont="1" applyFill="1" applyBorder="1" applyAlignment="1">
      <alignment horizontal="center" vertical="center" wrapText="1"/>
    </xf>
    <xf numFmtId="0" fontId="18" fillId="7" borderId="3" xfId="0" applyFont="1" applyFill="1" applyBorder="1" applyAlignment="1">
      <alignment horizontal="left" vertical="center" wrapText="1"/>
    </xf>
    <xf numFmtId="0" fontId="18" fillId="11" borderId="3" xfId="0" applyFont="1" applyFill="1" applyBorder="1" applyAlignment="1">
      <alignment horizontal="left" vertical="center" wrapText="1"/>
    </xf>
    <xf numFmtId="0" fontId="0" fillId="12" borderId="0" xfId="0" applyFill="1"/>
    <xf numFmtId="0" fontId="0" fillId="13" borderId="0" xfId="0" applyFill="1"/>
    <xf numFmtId="0" fontId="0" fillId="14" borderId="0" xfId="0" applyFill="1"/>
    <xf numFmtId="0" fontId="0" fillId="15" borderId="0" xfId="0" applyFill="1"/>
    <xf numFmtId="0" fontId="0" fillId="16" borderId="0" xfId="0" applyFill="1"/>
    <xf numFmtId="0" fontId="0" fillId="0" borderId="5" xfId="0" applyBorder="1" applyAlignment="1">
      <alignment horizontal="left" vertical="top" wrapText="1"/>
    </xf>
    <xf numFmtId="0" fontId="21" fillId="6" borderId="4" xfId="0" applyFont="1" applyFill="1" applyBorder="1" applyAlignment="1">
      <alignment horizontal="center" vertical="center"/>
    </xf>
    <xf numFmtId="0" fontId="22" fillId="6" borderId="4" xfId="0" applyFont="1" applyFill="1" applyBorder="1" applyAlignment="1">
      <alignment horizontal="center" vertical="center" wrapText="1"/>
    </xf>
    <xf numFmtId="0" fontId="23" fillId="5" borderId="4" xfId="0" applyFont="1" applyFill="1" applyBorder="1" applyAlignment="1">
      <alignment horizontal="center" vertical="center" wrapText="1"/>
    </xf>
    <xf numFmtId="0" fontId="23" fillId="7" borderId="4" xfId="0" applyFont="1" applyFill="1" applyBorder="1" applyAlignment="1">
      <alignment horizontal="center" vertical="center" wrapText="1"/>
    </xf>
    <xf numFmtId="0" fontId="22" fillId="9" borderId="4" xfId="0" applyFont="1" applyFill="1" applyBorder="1" applyAlignment="1">
      <alignment horizontal="center" vertical="center" wrapText="1"/>
    </xf>
    <xf numFmtId="0" fontId="23" fillId="8" borderId="4" xfId="0" applyFont="1" applyFill="1" applyBorder="1" applyAlignment="1">
      <alignment horizontal="center" vertical="center" wrapText="1"/>
    </xf>
    <xf numFmtId="0" fontId="22" fillId="10" borderId="4" xfId="0" applyFont="1" applyFill="1" applyBorder="1" applyAlignment="1">
      <alignment horizontal="center" vertical="center" wrapText="1"/>
    </xf>
    <xf numFmtId="0" fontId="21" fillId="6" borderId="4" xfId="0" quotePrefix="1" applyFont="1" applyFill="1" applyBorder="1" applyAlignment="1">
      <alignment horizontal="center" vertical="center"/>
    </xf>
    <xf numFmtId="0" fontId="21" fillId="6" borderId="7" xfId="0" quotePrefix="1" applyFont="1" applyFill="1" applyBorder="1" applyAlignment="1">
      <alignment horizontal="center" vertical="center"/>
    </xf>
    <xf numFmtId="0" fontId="22" fillId="6" borderId="7" xfId="0" applyFont="1" applyFill="1" applyBorder="1" applyAlignment="1">
      <alignment horizontal="center" vertical="center" wrapText="1"/>
    </xf>
    <xf numFmtId="0" fontId="19" fillId="0" borderId="0" xfId="0" quotePrefix="1" applyFont="1" applyAlignment="1">
      <alignment horizontal="center" vertical="center" wrapText="1"/>
    </xf>
    <xf numFmtId="0" fontId="0" fillId="0" borderId="0" xfId="0" applyAlignment="1">
      <alignment horizontal="center" vertical="center" wrapText="1"/>
    </xf>
    <xf numFmtId="0" fontId="16" fillId="19" borderId="3" xfId="0" applyFont="1" applyFill="1" applyBorder="1" applyAlignment="1">
      <alignment horizontal="center" vertical="center"/>
    </xf>
    <xf numFmtId="0" fontId="15" fillId="19" borderId="3" xfId="0" applyFont="1" applyFill="1" applyBorder="1" applyAlignment="1">
      <alignment horizontal="center" vertical="center" wrapText="1"/>
    </xf>
    <xf numFmtId="0" fontId="13" fillId="19" borderId="3" xfId="0" applyFont="1" applyFill="1" applyBorder="1" applyAlignment="1">
      <alignment horizontal="center" vertical="center" wrapText="1"/>
    </xf>
    <xf numFmtId="0" fontId="0" fillId="19" borderId="0" xfId="0" quotePrefix="1" applyFill="1" applyAlignment="1">
      <alignment horizontal="center" vertical="center"/>
    </xf>
    <xf numFmtId="0" fontId="27" fillId="3" borderId="4" xfId="0" applyFont="1" applyFill="1" applyBorder="1" applyAlignment="1">
      <alignment horizontal="center" vertical="center" wrapText="1"/>
    </xf>
    <xf numFmtId="0" fontId="25" fillId="12" borderId="6" xfId="0" applyFont="1" applyFill="1" applyBorder="1" applyAlignment="1">
      <alignment horizontal="center" vertical="center" wrapText="1"/>
    </xf>
    <xf numFmtId="0" fontId="25" fillId="12" borderId="4" xfId="0" applyFont="1" applyFill="1" applyBorder="1" applyAlignment="1">
      <alignment horizontal="center" vertical="center" wrapText="1"/>
    </xf>
    <xf numFmtId="0" fontId="29" fillId="12" borderId="4" xfId="0" applyFont="1" applyFill="1" applyBorder="1" applyAlignment="1">
      <alignment horizontal="center" vertical="center" wrapText="1"/>
    </xf>
    <xf numFmtId="0" fontId="30" fillId="12" borderId="4" xfId="0" applyFont="1" applyFill="1" applyBorder="1" applyAlignment="1">
      <alignment horizontal="center" vertical="center" wrapText="1"/>
    </xf>
    <xf numFmtId="0" fontId="28" fillId="17" borderId="8" xfId="0" applyFont="1" applyFill="1" applyBorder="1" applyAlignment="1">
      <alignment horizontal="center" vertical="center" wrapText="1"/>
    </xf>
    <xf numFmtId="0" fontId="25" fillId="13" borderId="4" xfId="0" applyFont="1" applyFill="1" applyBorder="1" applyAlignment="1">
      <alignment horizontal="center" vertical="center" wrapText="1"/>
    </xf>
    <xf numFmtId="0" fontId="29" fillId="13" borderId="4" xfId="0" applyFont="1" applyFill="1" applyBorder="1" applyAlignment="1">
      <alignment horizontal="center" vertical="center" wrapText="1"/>
    </xf>
    <xf numFmtId="0" fontId="30" fillId="13" borderId="4" xfId="0" applyFont="1" applyFill="1" applyBorder="1" applyAlignment="1">
      <alignment horizontal="center" vertical="center" wrapText="1"/>
    </xf>
    <xf numFmtId="0" fontId="28" fillId="18" borderId="4" xfId="0" applyFont="1" applyFill="1" applyBorder="1" applyAlignment="1">
      <alignment horizontal="center" vertical="center" wrapText="1"/>
    </xf>
    <xf numFmtId="0" fontId="25" fillId="14" borderId="4" xfId="0" applyFont="1" applyFill="1" applyBorder="1" applyAlignment="1">
      <alignment horizontal="center" vertical="center" wrapText="1"/>
    </xf>
    <xf numFmtId="0" fontId="29" fillId="14" borderId="4" xfId="0" applyFont="1" applyFill="1" applyBorder="1" applyAlignment="1">
      <alignment horizontal="center" vertical="center" wrapText="1"/>
    </xf>
    <xf numFmtId="0" fontId="25" fillId="15" borderId="4" xfId="0" applyFont="1" applyFill="1" applyBorder="1" applyAlignment="1">
      <alignment horizontal="center" vertical="center" wrapText="1"/>
    </xf>
    <xf numFmtId="0" fontId="29" fillId="15" borderId="4" xfId="0" applyFont="1" applyFill="1" applyBorder="1" applyAlignment="1">
      <alignment horizontal="center" vertical="center" wrapText="1"/>
    </xf>
    <xf numFmtId="0" fontId="28" fillId="17" borderId="4" xfId="0" applyFont="1" applyFill="1" applyBorder="1" applyAlignment="1">
      <alignment horizontal="center" vertical="center" wrapText="1"/>
    </xf>
    <xf numFmtId="0" fontId="25" fillId="16" borderId="4" xfId="0" applyFont="1" applyFill="1" applyBorder="1" applyAlignment="1">
      <alignment horizontal="center" vertical="center" wrapText="1"/>
    </xf>
    <xf numFmtId="0" fontId="29" fillId="16" borderId="4" xfId="0" applyFont="1" applyFill="1" applyBorder="1" applyAlignment="1">
      <alignment horizontal="center" vertical="center" wrapText="1"/>
    </xf>
    <xf numFmtId="0" fontId="30" fillId="16" borderId="4" xfId="0" applyFont="1" applyFill="1" applyBorder="1" applyAlignment="1">
      <alignment horizontal="center" vertical="center" wrapText="1"/>
    </xf>
    <xf numFmtId="0" fontId="31" fillId="7" borderId="3" xfId="0" applyFont="1" applyFill="1" applyBorder="1" applyAlignment="1">
      <alignment horizontal="center" vertical="center" wrapText="1"/>
    </xf>
    <xf numFmtId="0" fontId="28" fillId="20" borderId="9" xfId="0" applyFont="1" applyFill="1" applyBorder="1" applyAlignment="1">
      <alignment horizontal="center" vertical="center" wrapText="1"/>
    </xf>
    <xf numFmtId="0" fontId="28" fillId="20" borderId="10" xfId="0" applyFont="1" applyFill="1" applyBorder="1" applyAlignment="1">
      <alignment horizontal="center" vertical="center" wrapText="1"/>
    </xf>
    <xf numFmtId="0" fontId="28" fillId="20" borderId="8" xfId="0" applyFont="1" applyFill="1" applyBorder="1" applyAlignment="1">
      <alignment horizontal="center" vertical="center" wrapText="1"/>
    </xf>
    <xf numFmtId="0" fontId="28" fillId="20" borderId="4" xfId="0" applyFont="1" applyFill="1" applyBorder="1" applyAlignment="1">
      <alignment horizontal="center" vertical="center" wrapText="1"/>
    </xf>
    <xf numFmtId="0" fontId="1" fillId="0" borderId="0" xfId="0" applyFont="1" applyAlignment="1">
      <alignment horizontal="center" vertical="center" wrapText="1"/>
    </xf>
    <xf numFmtId="0" fontId="0" fillId="0" borderId="0" xfId="0"/>
    <xf numFmtId="0" fontId="26" fillId="0" borderId="4" xfId="0" applyFont="1" applyBorder="1" applyAlignment="1">
      <alignment horizontal="center" vertical="center" wrapText="1"/>
    </xf>
    <xf numFmtId="0" fontId="25" fillId="0" borderId="4" xfId="0" applyFont="1" applyBorder="1" applyAlignment="1">
      <alignment horizontal="center" vertical="center"/>
    </xf>
    <xf numFmtId="0" fontId="24" fillId="0" borderId="4" xfId="0" applyFont="1" applyBorder="1" applyAlignment="1">
      <alignment horizontal="center" vertical="center" wrapText="1"/>
    </xf>
    <xf numFmtId="0" fontId="8" fillId="0" borderId="0" xfId="0" applyFont="1" applyAlignment="1">
      <alignment horizontal="center" vertical="center" wrapText="1"/>
    </xf>
    <xf numFmtId="0" fontId="0" fillId="0" borderId="0" xfId="0" applyAlignment="1">
      <alignment horizontal="center" vertical="center"/>
    </xf>
    <xf numFmtId="0" fontId="7" fillId="0" borderId="0" xfId="0" applyFont="1" applyAlignment="1">
      <alignment horizontal="center" vertical="center" wrapText="1"/>
    </xf>
    <xf numFmtId="0" fontId="6" fillId="0" borderId="0" xfId="0" applyFont="1" applyAlignment="1">
      <alignment horizontal="center" vertical="center" wrapText="1"/>
    </xf>
  </cellXfs>
  <cellStyles count="1">
    <cellStyle name="Normal" xfId="0" builtinId="0"/>
  </cellStyles>
  <dxfs count="0"/>
  <tableStyles count="0" defaultTableStyle="TableStyleMedium9"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tabSelected="1" topLeftCell="A4" workbookViewId="0">
      <selection activeCell="C14" sqref="C14"/>
    </sheetView>
  </sheetViews>
  <sheetFormatPr defaultRowHeight="14.4"/>
  <cols>
    <col min="1" max="1" width="25" customWidth="1"/>
    <col min="2" max="2" width="40" customWidth="1"/>
    <col min="3" max="3" width="15" customWidth="1"/>
    <col min="4" max="4" width="30" customWidth="1"/>
    <col min="5" max="6" width="20" customWidth="1"/>
  </cols>
  <sheetData>
    <row r="1" spans="1:6">
      <c r="A1" s="68" t="s">
        <v>40</v>
      </c>
      <c r="B1" s="69"/>
      <c r="C1" s="69"/>
      <c r="D1" s="69"/>
      <c r="E1" s="69"/>
      <c r="F1" s="69"/>
    </row>
    <row r="3" spans="1:6" ht="18" customHeight="1">
      <c r="A3" s="1" t="s">
        <v>41</v>
      </c>
    </row>
    <row r="4" spans="1:6">
      <c r="A4" s="2" t="s">
        <v>42</v>
      </c>
      <c r="C4" t="s">
        <v>43</v>
      </c>
    </row>
    <row r="5" spans="1:6">
      <c r="A5" s="2" t="s">
        <v>44</v>
      </c>
      <c r="C5" t="s">
        <v>45</v>
      </c>
    </row>
    <row r="6" spans="1:6">
      <c r="A6" s="2" t="s">
        <v>46</v>
      </c>
      <c r="C6" t="s">
        <v>162</v>
      </c>
    </row>
    <row r="7" spans="1:6">
      <c r="A7" s="2" t="s">
        <v>47</v>
      </c>
      <c r="C7" t="s">
        <v>163</v>
      </c>
    </row>
    <row r="9" spans="1:6" ht="18" customHeight="1">
      <c r="A9" s="1" t="s">
        <v>48</v>
      </c>
    </row>
    <row r="10" spans="1:6">
      <c r="A10" s="2" t="s">
        <v>49</v>
      </c>
      <c r="C10">
        <v>120</v>
      </c>
    </row>
    <row r="11" spans="1:6">
      <c r="A11" s="2" t="s">
        <v>50</v>
      </c>
      <c r="C11" s="3">
        <v>14</v>
      </c>
    </row>
    <row r="12" spans="1:6">
      <c r="A12" s="2" t="s">
        <v>51</v>
      </c>
      <c r="C12" s="4">
        <f>C11/C10</f>
        <v>0.11666666666666667</v>
      </c>
      <c r="E12" s="5" t="s">
        <v>52</v>
      </c>
    </row>
    <row r="13" spans="1:6">
      <c r="A13" s="2" t="s">
        <v>53</v>
      </c>
      <c r="C13" s="3">
        <v>9</v>
      </c>
    </row>
    <row r="15" spans="1:6" ht="18" customHeight="1">
      <c r="A15" s="1" t="s">
        <v>54</v>
      </c>
    </row>
    <row r="16" spans="1:6">
      <c r="A16" s="6" t="s">
        <v>55</v>
      </c>
      <c r="B16" s="6" t="s">
        <v>56</v>
      </c>
      <c r="C16" s="6" t="s">
        <v>57</v>
      </c>
      <c r="D16" s="6" t="s">
        <v>58</v>
      </c>
    </row>
    <row r="17" spans="1:5" ht="28.8">
      <c r="A17" s="7" t="s">
        <v>59</v>
      </c>
      <c r="B17" s="7" t="s">
        <v>63</v>
      </c>
      <c r="C17" s="7" t="s">
        <v>160</v>
      </c>
      <c r="D17" s="7" t="s">
        <v>161</v>
      </c>
    </row>
    <row r="18" spans="1:5" ht="28.8">
      <c r="A18" s="7" t="s">
        <v>62</v>
      </c>
      <c r="B18" s="7" t="s">
        <v>63</v>
      </c>
      <c r="C18" s="7" t="s">
        <v>168</v>
      </c>
      <c r="D18" s="7" t="s">
        <v>65</v>
      </c>
    </row>
    <row r="19" spans="1:5">
      <c r="A19" s="7" t="s">
        <v>66</v>
      </c>
      <c r="B19" s="7" t="s">
        <v>60</v>
      </c>
      <c r="C19" s="7" t="s">
        <v>61</v>
      </c>
      <c r="D19" s="7" t="s">
        <v>61</v>
      </c>
    </row>
    <row r="20" spans="1:5">
      <c r="A20" s="7" t="s">
        <v>67</v>
      </c>
      <c r="B20" s="7" t="s">
        <v>170</v>
      </c>
      <c r="C20" s="7" t="s">
        <v>160</v>
      </c>
      <c r="D20" s="7" t="s">
        <v>171</v>
      </c>
      <c r="E20" s="18" t="s">
        <v>172</v>
      </c>
    </row>
    <row r="21" spans="1:5" ht="28.8">
      <c r="A21" s="18" t="s">
        <v>68</v>
      </c>
      <c r="B21" s="7" t="s">
        <v>169</v>
      </c>
      <c r="C21" t="s">
        <v>64</v>
      </c>
      <c r="D21" s="7" t="s">
        <v>65</v>
      </c>
    </row>
    <row r="22" spans="1:5" ht="18" customHeight="1">
      <c r="A22" s="1" t="s">
        <v>69</v>
      </c>
    </row>
    <row r="23" spans="1:5">
      <c r="A23" s="6" t="s">
        <v>70</v>
      </c>
      <c r="B23" s="6" t="s">
        <v>71</v>
      </c>
      <c r="C23" s="6" t="s">
        <v>72</v>
      </c>
    </row>
    <row r="24" spans="1:5">
      <c r="A24" s="7" t="s">
        <v>18</v>
      </c>
      <c r="B24" s="8">
        <v>6</v>
      </c>
      <c r="C24" s="9" t="s">
        <v>73</v>
      </c>
    </row>
    <row r="25" spans="1:5">
      <c r="A25" s="7" t="s">
        <v>26</v>
      </c>
      <c r="B25" s="8">
        <v>3</v>
      </c>
      <c r="C25" s="9" t="s">
        <v>73</v>
      </c>
    </row>
    <row r="26" spans="1:5">
      <c r="A26" s="7" t="s">
        <v>12</v>
      </c>
      <c r="B26" s="8">
        <v>2</v>
      </c>
      <c r="C26" s="9" t="s">
        <v>73</v>
      </c>
    </row>
    <row r="27" spans="1:5">
      <c r="A27" s="7" t="s">
        <v>34</v>
      </c>
      <c r="B27" s="8">
        <v>2</v>
      </c>
      <c r="C27" s="9" t="s">
        <v>73</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6"/>
  <sheetViews>
    <sheetView topLeftCell="A18" zoomScale="90" zoomScaleNormal="90" workbookViewId="0">
      <selection activeCell="B15" sqref="B15"/>
    </sheetView>
  </sheetViews>
  <sheetFormatPr defaultRowHeight="14.4"/>
  <cols>
    <col min="1" max="1" width="8" customWidth="1"/>
    <col min="2" max="3" width="18" customWidth="1"/>
    <col min="4" max="4" width="25" customWidth="1"/>
    <col min="5" max="5" width="30" customWidth="1"/>
    <col min="6" max="6" width="35" customWidth="1"/>
    <col min="7" max="7" width="50" customWidth="1"/>
    <col min="8" max="8" width="20" customWidth="1"/>
  </cols>
  <sheetData>
    <row r="1" spans="1:8">
      <c r="A1" s="72" t="s">
        <v>0</v>
      </c>
      <c r="B1" s="71"/>
      <c r="C1" s="71"/>
      <c r="D1" s="71"/>
      <c r="E1" s="71"/>
      <c r="F1" s="71"/>
      <c r="G1" s="71"/>
      <c r="H1" s="71"/>
    </row>
    <row r="2" spans="1:8" ht="30" customHeight="1">
      <c r="A2" s="70" t="s">
        <v>1</v>
      </c>
      <c r="B2" s="71"/>
      <c r="C2" s="71"/>
      <c r="D2" s="71"/>
      <c r="E2" s="71"/>
      <c r="F2" s="71"/>
      <c r="G2" s="71"/>
      <c r="H2" s="71"/>
    </row>
    <row r="3" spans="1:8" ht="40.049999999999997" customHeight="1">
      <c r="A3" s="45" t="s">
        <v>2</v>
      </c>
      <c r="B3" s="45" t="s">
        <v>3</v>
      </c>
      <c r="C3" s="45" t="s">
        <v>4</v>
      </c>
      <c r="D3" s="45" t="s">
        <v>5</v>
      </c>
      <c r="E3" s="45" t="s">
        <v>6</v>
      </c>
      <c r="F3" s="45" t="s">
        <v>7</v>
      </c>
      <c r="G3" s="45" t="s">
        <v>8</v>
      </c>
      <c r="H3" s="45" t="s">
        <v>9</v>
      </c>
    </row>
    <row r="4" spans="1:8" ht="166.2" customHeight="1">
      <c r="A4" s="29" t="s">
        <v>10</v>
      </c>
      <c r="B4" s="30" t="s">
        <v>11</v>
      </c>
      <c r="C4" s="31" t="s">
        <v>12</v>
      </c>
      <c r="D4" s="31" t="s">
        <v>13</v>
      </c>
      <c r="E4" s="31" t="s">
        <v>254</v>
      </c>
      <c r="F4" s="31" t="s">
        <v>14</v>
      </c>
      <c r="G4" s="31" t="s">
        <v>15</v>
      </c>
      <c r="H4" s="31" t="s">
        <v>16</v>
      </c>
    </row>
    <row r="5" spans="1:8" ht="165.6" customHeight="1">
      <c r="A5" s="29" t="s">
        <v>17</v>
      </c>
      <c r="B5" s="30" t="s">
        <v>11</v>
      </c>
      <c r="C5" s="32" t="s">
        <v>18</v>
      </c>
      <c r="D5" s="32" t="s">
        <v>19</v>
      </c>
      <c r="E5" s="32" t="s">
        <v>20</v>
      </c>
      <c r="F5" s="32" t="s">
        <v>21</v>
      </c>
      <c r="G5" s="32" t="s">
        <v>22</v>
      </c>
      <c r="H5" s="32" t="s">
        <v>23</v>
      </c>
    </row>
    <row r="6" spans="1:8" ht="220.8" customHeight="1">
      <c r="A6" s="29" t="s">
        <v>24</v>
      </c>
      <c r="B6" s="33" t="s">
        <v>25</v>
      </c>
      <c r="C6" s="34" t="s">
        <v>26</v>
      </c>
      <c r="D6" s="34" t="s">
        <v>27</v>
      </c>
      <c r="E6" s="34" t="s">
        <v>28</v>
      </c>
      <c r="F6" s="34" t="s">
        <v>29</v>
      </c>
      <c r="G6" s="34" t="s">
        <v>30</v>
      </c>
      <c r="H6" s="34" t="s">
        <v>31</v>
      </c>
    </row>
    <row r="7" spans="1:8" ht="237" customHeight="1">
      <c r="A7" s="29" t="s">
        <v>32</v>
      </c>
      <c r="B7" s="35" t="s">
        <v>33</v>
      </c>
      <c r="C7" s="31" t="s">
        <v>34</v>
      </c>
      <c r="D7" s="31" t="s">
        <v>35</v>
      </c>
      <c r="E7" s="31" t="s">
        <v>36</v>
      </c>
      <c r="F7" s="31" t="s">
        <v>37</v>
      </c>
      <c r="G7" s="31" t="s">
        <v>38</v>
      </c>
      <c r="H7" s="31" t="s">
        <v>39</v>
      </c>
    </row>
    <row r="8" spans="1:8" ht="238.2" customHeight="1">
      <c r="A8" s="36" t="s">
        <v>193</v>
      </c>
      <c r="B8" s="30" t="s">
        <v>11</v>
      </c>
      <c r="C8" s="31" t="s">
        <v>18</v>
      </c>
      <c r="D8" s="31" t="s">
        <v>173</v>
      </c>
      <c r="E8" s="31" t="s">
        <v>174</v>
      </c>
      <c r="F8" s="31" t="s">
        <v>175</v>
      </c>
      <c r="G8" s="31" t="s">
        <v>176</v>
      </c>
      <c r="H8" s="31" t="s">
        <v>177</v>
      </c>
    </row>
    <row r="9" spans="1:8" ht="301.8" customHeight="1">
      <c r="A9" s="36" t="s">
        <v>194</v>
      </c>
      <c r="B9" s="33" t="s">
        <v>25</v>
      </c>
      <c r="C9" s="32" t="s">
        <v>34</v>
      </c>
      <c r="D9" s="32" t="s">
        <v>178</v>
      </c>
      <c r="E9" s="32" t="s">
        <v>179</v>
      </c>
      <c r="F9" s="32" t="s">
        <v>180</v>
      </c>
      <c r="G9" s="32" t="s">
        <v>181</v>
      </c>
      <c r="H9" s="32" t="s">
        <v>182</v>
      </c>
    </row>
    <row r="10" spans="1:8" ht="233.4" customHeight="1">
      <c r="A10" s="36" t="s">
        <v>195</v>
      </c>
      <c r="B10" s="35" t="s">
        <v>33</v>
      </c>
      <c r="C10" s="34" t="s">
        <v>26</v>
      </c>
      <c r="D10" s="34" t="s">
        <v>183</v>
      </c>
      <c r="E10" s="34" t="s">
        <v>184</v>
      </c>
      <c r="F10" s="34" t="s">
        <v>185</v>
      </c>
      <c r="G10" s="34" t="s">
        <v>186</v>
      </c>
      <c r="H10" s="34" t="s">
        <v>187</v>
      </c>
    </row>
    <row r="11" spans="1:8" ht="276.60000000000002" customHeight="1">
      <c r="A11" s="37" t="s">
        <v>196</v>
      </c>
      <c r="B11" s="38" t="s">
        <v>11</v>
      </c>
      <c r="C11" s="31" t="s">
        <v>12</v>
      </c>
      <c r="D11" s="31" t="s">
        <v>188</v>
      </c>
      <c r="E11" s="31" t="s">
        <v>189</v>
      </c>
      <c r="F11" s="31" t="s">
        <v>190</v>
      </c>
      <c r="G11" s="31" t="s">
        <v>191</v>
      </c>
      <c r="H11" s="31" t="s">
        <v>192</v>
      </c>
    </row>
    <row r="12" spans="1:8" s="23" customFormat="1" ht="195.6" customHeight="1">
      <c r="A12" s="64">
        <v>9</v>
      </c>
      <c r="B12" s="65" t="s">
        <v>11</v>
      </c>
      <c r="C12" s="46" t="s">
        <v>26</v>
      </c>
      <c r="D12" s="47" t="s">
        <v>206</v>
      </c>
      <c r="E12" s="48" t="s">
        <v>207</v>
      </c>
      <c r="F12" s="47" t="s">
        <v>260</v>
      </c>
      <c r="G12" s="47" t="s">
        <v>261</v>
      </c>
      <c r="H12" s="49" t="s">
        <v>257</v>
      </c>
    </row>
    <row r="13" spans="1:8" s="24" customFormat="1" ht="167.4" customHeight="1">
      <c r="A13" s="66">
        <v>10</v>
      </c>
      <c r="B13" s="50" t="s">
        <v>33</v>
      </c>
      <c r="C13" s="51" t="s">
        <v>205</v>
      </c>
      <c r="D13" s="51" t="s">
        <v>208</v>
      </c>
      <c r="E13" s="52" t="s">
        <v>255</v>
      </c>
      <c r="F13" s="51" t="s">
        <v>209</v>
      </c>
      <c r="G13" s="51" t="s">
        <v>220</v>
      </c>
      <c r="H13" s="53" t="s">
        <v>258</v>
      </c>
    </row>
    <row r="14" spans="1:8" s="25" customFormat="1" ht="168.6" customHeight="1">
      <c r="A14" s="67">
        <v>11</v>
      </c>
      <c r="B14" s="54" t="s">
        <v>25</v>
      </c>
      <c r="C14" s="55" t="s">
        <v>18</v>
      </c>
      <c r="D14" s="55" t="s">
        <v>210</v>
      </c>
      <c r="E14" s="56" t="s">
        <v>211</v>
      </c>
      <c r="F14" s="55" t="s">
        <v>262</v>
      </c>
      <c r="G14" s="55" t="s">
        <v>263</v>
      </c>
      <c r="H14" s="55" t="s">
        <v>264</v>
      </c>
    </row>
    <row r="15" spans="1:8" s="26" customFormat="1" ht="200.4" customHeight="1">
      <c r="A15" s="67">
        <v>12</v>
      </c>
      <c r="B15" s="67" t="s">
        <v>11</v>
      </c>
      <c r="C15" s="57" t="s">
        <v>26</v>
      </c>
      <c r="D15" s="57" t="s">
        <v>212</v>
      </c>
      <c r="E15" s="58" t="s">
        <v>213</v>
      </c>
      <c r="F15" s="57" t="s">
        <v>214</v>
      </c>
      <c r="G15" s="57" t="s">
        <v>221</v>
      </c>
      <c r="H15" s="57" t="s">
        <v>265</v>
      </c>
    </row>
    <row r="16" spans="1:8" s="27" customFormat="1" ht="168.6" customHeight="1">
      <c r="A16" s="67">
        <v>13</v>
      </c>
      <c r="B16" s="59" t="s">
        <v>33</v>
      </c>
      <c r="C16" s="60" t="s">
        <v>205</v>
      </c>
      <c r="D16" s="60" t="s">
        <v>215</v>
      </c>
      <c r="E16" s="61" t="s">
        <v>256</v>
      </c>
      <c r="F16" s="60" t="s">
        <v>216</v>
      </c>
      <c r="G16" s="60" t="s">
        <v>222</v>
      </c>
      <c r="H16" s="62" t="s">
        <v>259</v>
      </c>
    </row>
    <row r="17" spans="1:8" s="23" customFormat="1" ht="160.19999999999999" customHeight="1">
      <c r="A17" s="67">
        <v>14</v>
      </c>
      <c r="B17" s="67" t="s">
        <v>11</v>
      </c>
      <c r="C17" s="47" t="s">
        <v>18</v>
      </c>
      <c r="D17" s="47" t="s">
        <v>217</v>
      </c>
      <c r="E17" s="48" t="s">
        <v>253</v>
      </c>
      <c r="F17" s="47" t="s">
        <v>218</v>
      </c>
      <c r="G17" s="47" t="s">
        <v>223</v>
      </c>
      <c r="H17" s="47" t="s">
        <v>219</v>
      </c>
    </row>
    <row r="18" spans="1:8" ht="79.95" customHeight="1">
      <c r="A18" s="28"/>
      <c r="B18" s="28"/>
      <c r="C18" s="28"/>
      <c r="D18" s="28"/>
      <c r="E18" s="28"/>
      <c r="F18" s="28"/>
      <c r="G18" s="28"/>
      <c r="H18" s="28"/>
    </row>
    <row r="19" spans="1:8" ht="79.95" customHeight="1">
      <c r="A19" s="7"/>
      <c r="B19" s="7"/>
      <c r="C19" s="7"/>
      <c r="D19" s="7"/>
      <c r="E19" s="7"/>
      <c r="F19" s="7"/>
      <c r="G19" s="7"/>
      <c r="H19" s="7"/>
    </row>
    <row r="20" spans="1:8" ht="79.95" customHeight="1">
      <c r="A20" s="7"/>
      <c r="B20" s="7"/>
      <c r="C20" s="7"/>
      <c r="D20" s="7"/>
      <c r="E20" s="7"/>
      <c r="F20" s="7"/>
      <c r="G20" s="7"/>
      <c r="H20" s="7"/>
    </row>
    <row r="21" spans="1:8" ht="79.95" customHeight="1">
      <c r="A21" s="7"/>
      <c r="B21" s="7"/>
      <c r="C21" s="7"/>
      <c r="D21" s="7"/>
      <c r="E21" s="7"/>
      <c r="F21" s="7"/>
      <c r="G21" s="7"/>
      <c r="H21" s="7"/>
    </row>
    <row r="22" spans="1:8" ht="79.95" customHeight="1">
      <c r="A22" s="7"/>
      <c r="B22" s="7"/>
      <c r="C22" s="7"/>
      <c r="D22" s="7"/>
      <c r="E22" s="7"/>
      <c r="F22" s="7"/>
      <c r="G22" s="7"/>
      <c r="H22" s="7"/>
    </row>
    <row r="23" spans="1:8" ht="79.95" customHeight="1">
      <c r="A23" s="7"/>
      <c r="B23" s="7"/>
      <c r="C23" s="7"/>
      <c r="D23" s="7"/>
      <c r="E23" s="7"/>
      <c r="F23" s="7"/>
      <c r="G23" s="7"/>
      <c r="H23" s="7"/>
    </row>
    <row r="24" spans="1:8" ht="79.95" customHeight="1">
      <c r="A24" s="7"/>
      <c r="B24" s="7"/>
      <c r="C24" s="7"/>
      <c r="D24" s="7"/>
      <c r="E24" s="7"/>
      <c r="F24" s="7"/>
      <c r="G24" s="7"/>
      <c r="H24" s="7"/>
    </row>
    <row r="25" spans="1:8" ht="79.95" customHeight="1">
      <c r="A25" s="7"/>
      <c r="B25" s="7"/>
      <c r="C25" s="7"/>
      <c r="D25" s="7"/>
      <c r="E25" s="7"/>
      <c r="F25" s="7"/>
      <c r="G25" s="7"/>
      <c r="H25" s="7"/>
    </row>
    <row r="26" spans="1:8" ht="79.95" customHeight="1">
      <c r="A26" s="7"/>
      <c r="B26" s="7"/>
      <c r="C26" s="7"/>
      <c r="D26" s="7"/>
      <c r="E26" s="7"/>
      <c r="F26" s="7"/>
      <c r="G26" s="7"/>
      <c r="H26" s="7"/>
    </row>
  </sheetData>
  <mergeCells count="2">
    <mergeCell ref="A2:H2"/>
    <mergeCell ref="A1:H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6"/>
  <sheetViews>
    <sheetView topLeftCell="A2" workbookViewId="0">
      <selection activeCell="A11" sqref="A11"/>
    </sheetView>
  </sheetViews>
  <sheetFormatPr defaultRowHeight="14.4"/>
  <cols>
    <col min="1" max="1" width="12" customWidth="1"/>
    <col min="2" max="2" width="22" customWidth="1"/>
    <col min="3" max="6" width="30" customWidth="1"/>
  </cols>
  <sheetData>
    <row r="1" spans="1:6">
      <c r="A1" s="75" t="s">
        <v>74</v>
      </c>
      <c r="B1" s="74"/>
      <c r="C1" s="74"/>
      <c r="D1" s="74"/>
      <c r="E1" s="74"/>
      <c r="F1" s="74"/>
    </row>
    <row r="2" spans="1:6">
      <c r="A2" s="73" t="s">
        <v>75</v>
      </c>
      <c r="B2" s="74"/>
      <c r="C2" s="74"/>
      <c r="D2" s="74"/>
      <c r="E2" s="74"/>
      <c r="F2" s="74"/>
    </row>
    <row r="3" spans="1:6" ht="40.049999999999997" customHeight="1">
      <c r="A3" s="6" t="s">
        <v>76</v>
      </c>
      <c r="B3" s="6" t="s">
        <v>77</v>
      </c>
      <c r="C3" s="6" t="s">
        <v>78</v>
      </c>
      <c r="D3" s="6" t="s">
        <v>79</v>
      </c>
      <c r="E3" s="6" t="s">
        <v>80</v>
      </c>
      <c r="F3" s="6" t="s">
        <v>81</v>
      </c>
    </row>
    <row r="4" spans="1:6" ht="94.95" customHeight="1">
      <c r="A4" s="41" t="s">
        <v>24</v>
      </c>
      <c r="B4" s="42" t="s">
        <v>82</v>
      </c>
      <c r="C4" s="43" t="s">
        <v>83</v>
      </c>
      <c r="D4" s="43" t="s">
        <v>84</v>
      </c>
      <c r="E4" s="43" t="s">
        <v>85</v>
      </c>
      <c r="F4" s="43" t="s">
        <v>86</v>
      </c>
    </row>
    <row r="5" spans="1:6" ht="94.95" customHeight="1">
      <c r="A5" s="41" t="s">
        <v>32</v>
      </c>
      <c r="B5" s="42" t="s">
        <v>87</v>
      </c>
      <c r="C5" s="43" t="s">
        <v>88</v>
      </c>
      <c r="D5" s="43" t="s">
        <v>89</v>
      </c>
      <c r="E5" s="43" t="s">
        <v>90</v>
      </c>
      <c r="F5" s="43" t="s">
        <v>91</v>
      </c>
    </row>
    <row r="6" spans="1:6" ht="148.19999999999999" customHeight="1">
      <c r="A6" s="44" t="s">
        <v>193</v>
      </c>
      <c r="B6" s="42" t="s">
        <v>87</v>
      </c>
      <c r="C6" s="43" t="s">
        <v>197</v>
      </c>
      <c r="D6" s="43" t="s">
        <v>198</v>
      </c>
      <c r="E6" s="43" t="s">
        <v>199</v>
      </c>
      <c r="F6" s="43" t="s">
        <v>200</v>
      </c>
    </row>
    <row r="7" spans="1:6" ht="123" customHeight="1">
      <c r="A7" s="44" t="s">
        <v>194</v>
      </c>
      <c r="B7" s="42" t="s">
        <v>87</v>
      </c>
      <c r="C7" s="43" t="s">
        <v>201</v>
      </c>
      <c r="D7" s="43" t="s">
        <v>202</v>
      </c>
      <c r="E7" s="43" t="s">
        <v>203</v>
      </c>
      <c r="F7" s="43" t="s">
        <v>204</v>
      </c>
    </row>
    <row r="8" spans="1:6" ht="127.2" customHeight="1">
      <c r="A8" s="39" t="s">
        <v>249</v>
      </c>
      <c r="B8" s="40" t="s">
        <v>225</v>
      </c>
      <c r="C8" s="40" t="s">
        <v>224</v>
      </c>
      <c r="D8" s="40" t="s">
        <v>226</v>
      </c>
      <c r="E8" s="40" t="s">
        <v>227</v>
      </c>
      <c r="F8" s="40" t="s">
        <v>228</v>
      </c>
    </row>
    <row r="9" spans="1:6" ht="111.6" customHeight="1">
      <c r="A9" s="39" t="s">
        <v>250</v>
      </c>
      <c r="B9" s="40" t="s">
        <v>230</v>
      </c>
      <c r="C9" s="40" t="s">
        <v>229</v>
      </c>
      <c r="D9" s="40" t="s">
        <v>231</v>
      </c>
      <c r="E9" s="40" t="s">
        <v>232</v>
      </c>
      <c r="F9" s="40" t="s">
        <v>233</v>
      </c>
    </row>
    <row r="10" spans="1:6" ht="108" customHeight="1">
      <c r="A10" s="39" t="s">
        <v>251</v>
      </c>
      <c r="B10" s="40" t="s">
        <v>235</v>
      </c>
      <c r="C10" s="40" t="s">
        <v>234</v>
      </c>
      <c r="D10" s="40" t="s">
        <v>236</v>
      </c>
      <c r="E10" s="40" t="s">
        <v>237</v>
      </c>
      <c r="F10" s="40" t="s">
        <v>238</v>
      </c>
    </row>
    <row r="11" spans="1:6" ht="94.2" customHeight="1">
      <c r="A11" s="39" t="s">
        <v>266</v>
      </c>
      <c r="B11" s="40" t="s">
        <v>240</v>
      </c>
      <c r="C11" s="40" t="s">
        <v>239</v>
      </c>
      <c r="D11" s="40" t="s">
        <v>241</v>
      </c>
      <c r="E11" s="40" t="s">
        <v>242</v>
      </c>
      <c r="F11" s="40" t="s">
        <v>243</v>
      </c>
    </row>
    <row r="12" spans="1:6" ht="63.6" customHeight="1">
      <c r="A12" s="39" t="s">
        <v>252</v>
      </c>
      <c r="B12" s="40" t="s">
        <v>245</v>
      </c>
      <c r="C12" s="40" t="s">
        <v>244</v>
      </c>
      <c r="D12" s="40" t="s">
        <v>246</v>
      </c>
      <c r="E12" s="40" t="s">
        <v>247</v>
      </c>
      <c r="F12" s="40" t="s">
        <v>248</v>
      </c>
    </row>
    <row r="13" spans="1:6" ht="60" customHeight="1">
      <c r="A13" s="7"/>
      <c r="B13" s="7"/>
      <c r="C13" s="7"/>
      <c r="D13" s="7"/>
      <c r="E13" s="7"/>
      <c r="F13" s="7"/>
    </row>
    <row r="14" spans="1:6" ht="60" customHeight="1">
      <c r="A14" s="7"/>
      <c r="C14" s="7"/>
      <c r="D14" s="7"/>
      <c r="E14" s="7"/>
      <c r="F14" s="7"/>
    </row>
    <row r="15" spans="1:6" ht="60" customHeight="1">
      <c r="A15" s="7"/>
      <c r="C15" s="7"/>
      <c r="D15" s="7"/>
      <c r="E15" s="7"/>
      <c r="F15" s="7"/>
    </row>
    <row r="16" spans="1:6" ht="60" customHeight="1">
      <c r="A16" s="7"/>
      <c r="C16" s="7"/>
      <c r="D16" s="7"/>
      <c r="E16" s="7"/>
      <c r="F16" s="7"/>
    </row>
    <row r="17" spans="1:6" ht="60" customHeight="1">
      <c r="A17" s="7"/>
      <c r="C17" s="7"/>
      <c r="D17" s="7"/>
      <c r="E17" s="7"/>
      <c r="F17" s="7"/>
    </row>
    <row r="18" spans="1:6" ht="60" customHeight="1">
      <c r="A18" s="7"/>
      <c r="C18" s="7"/>
      <c r="D18" s="7"/>
      <c r="E18" s="7"/>
      <c r="F18" s="7"/>
    </row>
    <row r="19" spans="1:6" ht="60" customHeight="1">
      <c r="A19" s="7"/>
      <c r="B19" s="7"/>
      <c r="C19" s="7"/>
      <c r="D19" s="7"/>
      <c r="E19" s="7"/>
      <c r="F19" s="7"/>
    </row>
    <row r="20" spans="1:6" ht="60" customHeight="1">
      <c r="A20" s="7"/>
      <c r="B20" s="7"/>
      <c r="C20" s="7"/>
      <c r="D20" s="7"/>
      <c r="E20" s="7"/>
      <c r="F20" s="7"/>
    </row>
    <row r="21" spans="1:6" ht="60" customHeight="1">
      <c r="A21" s="7"/>
      <c r="B21" s="7"/>
      <c r="C21" s="7"/>
      <c r="D21" s="7"/>
      <c r="E21" s="7"/>
      <c r="F21" s="7"/>
    </row>
    <row r="22" spans="1:6" ht="60" customHeight="1">
      <c r="A22" s="7"/>
      <c r="B22" s="7"/>
      <c r="C22" s="7"/>
      <c r="D22" s="7"/>
      <c r="E22" s="7"/>
      <c r="F22" s="7"/>
    </row>
    <row r="23" spans="1:6" ht="60" customHeight="1">
      <c r="A23" s="7"/>
      <c r="B23" s="7"/>
      <c r="C23" s="7"/>
      <c r="D23" s="7"/>
      <c r="E23" s="7"/>
      <c r="F23" s="7"/>
    </row>
    <row r="24" spans="1:6" ht="60" customHeight="1">
      <c r="A24" s="7"/>
      <c r="B24" s="7"/>
      <c r="C24" s="7"/>
      <c r="D24" s="7"/>
      <c r="E24" s="7"/>
      <c r="F24" s="7"/>
    </row>
    <row r="30" spans="1:6" ht="18" customHeight="1">
      <c r="A30" s="1" t="s">
        <v>92</v>
      </c>
    </row>
    <row r="31" spans="1:6">
      <c r="A31" s="10" t="s">
        <v>93</v>
      </c>
      <c r="B31" s="10" t="s">
        <v>94</v>
      </c>
      <c r="C31" s="10" t="s">
        <v>95</v>
      </c>
    </row>
    <row r="32" spans="1:6" ht="28.8" customHeight="1">
      <c r="A32" s="7" t="s">
        <v>96</v>
      </c>
      <c r="B32" s="7" t="s">
        <v>97</v>
      </c>
      <c r="C32" s="7" t="s">
        <v>98</v>
      </c>
    </row>
    <row r="33" spans="1:3" ht="28.8" customHeight="1">
      <c r="A33" s="7" t="s">
        <v>87</v>
      </c>
      <c r="B33" s="7" t="s">
        <v>99</v>
      </c>
      <c r="C33" s="7" t="s">
        <v>100</v>
      </c>
    </row>
    <row r="34" spans="1:3" ht="28.8" customHeight="1">
      <c r="A34" s="7" t="s">
        <v>82</v>
      </c>
      <c r="B34" s="7" t="s">
        <v>101</v>
      </c>
      <c r="C34" s="7" t="s">
        <v>102</v>
      </c>
    </row>
    <row r="35" spans="1:3" ht="28.8" customHeight="1">
      <c r="A35" s="7" t="s">
        <v>103</v>
      </c>
      <c r="B35" s="7" t="s">
        <v>104</v>
      </c>
      <c r="C35" s="7" t="s">
        <v>105</v>
      </c>
    </row>
    <row r="36" spans="1:3" ht="43.2" customHeight="1">
      <c r="A36" s="7" t="s">
        <v>106</v>
      </c>
      <c r="B36" s="7" t="s">
        <v>107</v>
      </c>
      <c r="C36" s="7" t="s">
        <v>108</v>
      </c>
    </row>
  </sheetData>
  <mergeCells count="2">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1"/>
  <sheetViews>
    <sheetView workbookViewId="0">
      <selection activeCell="E6" sqref="E6"/>
    </sheetView>
  </sheetViews>
  <sheetFormatPr defaultRowHeight="14.4"/>
  <cols>
    <col min="1" max="1" width="10" customWidth="1"/>
    <col min="2" max="4" width="42" customWidth="1"/>
  </cols>
  <sheetData>
    <row r="1" spans="1:4">
      <c r="A1" s="68" t="s">
        <v>109</v>
      </c>
      <c r="B1" s="69"/>
      <c r="C1" s="69"/>
      <c r="D1" s="69"/>
    </row>
    <row r="2" spans="1:4">
      <c r="A2" s="76" t="s">
        <v>110</v>
      </c>
      <c r="B2" s="69"/>
      <c r="C2" s="69"/>
      <c r="D2" s="69"/>
    </row>
    <row r="4" spans="1:4" ht="18" customHeight="1">
      <c r="A4" s="1" t="s">
        <v>111</v>
      </c>
    </row>
    <row r="5" spans="1:4">
      <c r="A5" s="6" t="s">
        <v>112</v>
      </c>
      <c r="B5" s="11" t="s">
        <v>113</v>
      </c>
      <c r="C5" s="6" t="s">
        <v>114</v>
      </c>
      <c r="D5" s="11" t="s">
        <v>115</v>
      </c>
    </row>
    <row r="6" spans="1:4" ht="34.200000000000003">
      <c r="A6" s="12" t="s">
        <v>116</v>
      </c>
      <c r="B6" s="13" t="s">
        <v>117</v>
      </c>
      <c r="C6" s="63" t="s">
        <v>118</v>
      </c>
      <c r="D6" s="21" t="s">
        <v>119</v>
      </c>
    </row>
    <row r="7" spans="1:4" ht="34.200000000000003">
      <c r="A7" s="12" t="s">
        <v>120</v>
      </c>
      <c r="B7" s="13" t="s">
        <v>121</v>
      </c>
      <c r="C7" s="20" t="s">
        <v>118</v>
      </c>
      <c r="D7" s="21" t="s">
        <v>122</v>
      </c>
    </row>
    <row r="8" spans="1:4" ht="34.200000000000003">
      <c r="A8" s="12" t="s">
        <v>123</v>
      </c>
      <c r="B8" s="13" t="s">
        <v>124</v>
      </c>
      <c r="C8" s="20" t="s">
        <v>118</v>
      </c>
      <c r="D8" s="21" t="s">
        <v>125</v>
      </c>
    </row>
    <row r="9" spans="1:4" ht="34.200000000000003">
      <c r="A9" s="12" t="s">
        <v>126</v>
      </c>
      <c r="B9" s="13" t="s">
        <v>127</v>
      </c>
      <c r="C9" s="20" t="s">
        <v>118</v>
      </c>
      <c r="D9" s="21" t="s">
        <v>128</v>
      </c>
    </row>
    <row r="10" spans="1:4" ht="34.200000000000003">
      <c r="A10" s="12" t="s">
        <v>129</v>
      </c>
      <c r="B10" s="13" t="s">
        <v>130</v>
      </c>
      <c r="C10" s="20" t="s">
        <v>118</v>
      </c>
      <c r="D10" s="21" t="s">
        <v>131</v>
      </c>
    </row>
    <row r="12" spans="1:4" ht="18" customHeight="1">
      <c r="A12" s="1" t="s">
        <v>132</v>
      </c>
    </row>
    <row r="13" spans="1:4">
      <c r="A13" s="6" t="s">
        <v>112</v>
      </c>
      <c r="B13" s="11" t="s">
        <v>113</v>
      </c>
      <c r="C13" s="6" t="s">
        <v>114</v>
      </c>
      <c r="D13" s="11" t="s">
        <v>133</v>
      </c>
    </row>
    <row r="14" spans="1:4" ht="22.8">
      <c r="A14" s="12" t="s">
        <v>116</v>
      </c>
      <c r="B14" s="13" t="s">
        <v>134</v>
      </c>
      <c r="C14" s="20" t="s">
        <v>118</v>
      </c>
      <c r="D14" s="21" t="s">
        <v>135</v>
      </c>
    </row>
    <row r="15" spans="1:4" ht="22.8">
      <c r="A15" s="12" t="s">
        <v>120</v>
      </c>
      <c r="B15" s="13" t="s">
        <v>136</v>
      </c>
      <c r="C15" s="20" t="s">
        <v>118</v>
      </c>
      <c r="D15" s="21" t="s">
        <v>137</v>
      </c>
    </row>
    <row r="16" spans="1:4" ht="22.8">
      <c r="A16" s="12" t="s">
        <v>123</v>
      </c>
      <c r="B16" s="13" t="s">
        <v>138</v>
      </c>
      <c r="C16" s="20" t="s">
        <v>118</v>
      </c>
      <c r="D16" s="21" t="s">
        <v>139</v>
      </c>
    </row>
    <row r="17" spans="1:4" ht="22.8">
      <c r="A17" s="12" t="s">
        <v>126</v>
      </c>
      <c r="B17" s="13" t="s">
        <v>140</v>
      </c>
      <c r="C17" s="20" t="s">
        <v>118</v>
      </c>
      <c r="D17" s="21" t="s">
        <v>141</v>
      </c>
    </row>
    <row r="18" spans="1:4" ht="22.8">
      <c r="A18" s="12" t="s">
        <v>129</v>
      </c>
      <c r="B18" s="13" t="s">
        <v>142</v>
      </c>
      <c r="C18" s="20" t="s">
        <v>118</v>
      </c>
      <c r="D18" s="21" t="s">
        <v>143</v>
      </c>
    </row>
    <row r="20" spans="1:4" ht="15.6" customHeight="1">
      <c r="A20" s="14" t="s">
        <v>144</v>
      </c>
    </row>
    <row r="21" spans="1:4">
      <c r="A21" s="15" t="s">
        <v>145</v>
      </c>
    </row>
    <row r="22" spans="1:4">
      <c r="A22" s="15" t="s">
        <v>146</v>
      </c>
    </row>
    <row r="25" spans="1:4" ht="18" customHeight="1">
      <c r="A25" s="1" t="s">
        <v>147</v>
      </c>
    </row>
    <row r="26" spans="1:4">
      <c r="A26" s="16" t="s">
        <v>148</v>
      </c>
    </row>
    <row r="27" spans="1:4" ht="43.2" customHeight="1">
      <c r="A27" s="17" t="s">
        <v>2</v>
      </c>
      <c r="B27" s="10" t="s">
        <v>149</v>
      </c>
      <c r="C27" s="10" t="s">
        <v>150</v>
      </c>
      <c r="D27" s="10" t="s">
        <v>151</v>
      </c>
    </row>
    <row r="28" spans="1:4" ht="49.95" customHeight="1">
      <c r="A28" s="19" t="s">
        <v>10</v>
      </c>
      <c r="B28" s="22" t="s">
        <v>152</v>
      </c>
      <c r="C28" s="22" t="s">
        <v>153</v>
      </c>
      <c r="D28" s="21" t="s">
        <v>164</v>
      </c>
    </row>
    <row r="29" spans="1:4" ht="49.95" customHeight="1">
      <c r="A29" s="19" t="s">
        <v>17</v>
      </c>
      <c r="B29" s="22" t="s">
        <v>154</v>
      </c>
      <c r="C29" s="22" t="s">
        <v>155</v>
      </c>
      <c r="D29" s="21" t="s">
        <v>165</v>
      </c>
    </row>
    <row r="30" spans="1:4" ht="49.95" customHeight="1">
      <c r="A30" s="19" t="s">
        <v>24</v>
      </c>
      <c r="B30" s="22" t="s">
        <v>156</v>
      </c>
      <c r="C30" s="22" t="s">
        <v>157</v>
      </c>
      <c r="D30" s="21" t="s">
        <v>166</v>
      </c>
    </row>
    <row r="31" spans="1:4" ht="49.95" customHeight="1">
      <c r="A31" s="19" t="s">
        <v>32</v>
      </c>
      <c r="B31" s="22" t="s">
        <v>158</v>
      </c>
      <c r="C31" s="22" t="s">
        <v>159</v>
      </c>
      <c r="D31" s="21" t="s">
        <v>167</v>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Ngiieen nee</cp:lastModifiedBy>
  <dcterms:created xsi:type="dcterms:W3CDTF">2026-05-07T22:28:42Z</dcterms:created>
  <dcterms:modified xsi:type="dcterms:W3CDTF">2026-07-21T15:59:50Z</dcterms:modified>
</cp:coreProperties>
</file>