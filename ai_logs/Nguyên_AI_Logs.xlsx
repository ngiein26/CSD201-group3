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026"/>
  <workbookPr/>
  <mc:AlternateContent xmlns:mc="http://schemas.openxmlformats.org/markup-compatibility/2006">
    <mc:Choice Requires="x15">
      <x15ac:absPath xmlns:x15ac="http://schemas.microsoft.com/office/spreadsheetml/2010/11/ac" url="C:\Users\ADMIN\Downloads\SUM26\CSD\CSD201-group3\ai_logs\"/>
    </mc:Choice>
  </mc:AlternateContent>
  <xr:revisionPtr revIDLastSave="0" documentId="13_ncr:1_{858CD9D3-361D-4A37-BE03-8DFBA9482D3B}" xr6:coauthVersionLast="47" xr6:coauthVersionMax="47" xr10:uidLastSave="{00000000-0000-0000-0000-000000000000}"/>
  <bookViews>
    <workbookView xWindow="-108" yWindow="-108" windowWidth="23256" windowHeight="12456" activeTab="3" xr2:uid="{00000000-000D-0000-FFFF-FFFF00000000}"/>
  </bookViews>
  <sheets>
    <sheet name="1. Metadata &amp; Summary" sheetId="1" r:id="rId1"/>
    <sheet name="2. Detailed Audit Log" sheetId="2" r:id="rId2"/>
    <sheet name="3. Hallucination Detection" sheetId="3" r:id="rId3"/>
    <sheet name="4. Self-Assessment Checklist"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12" i="1" l="1"/>
</calcChain>
</file>

<file path=xl/sharedStrings.xml><?xml version="1.0" encoding="utf-8"?>
<sst xmlns="http://schemas.openxmlformats.org/spreadsheetml/2006/main" count="182" uniqueCount="152">
  <si>
    <t>AI AUDIT LOG - METADATA &amp; SUMMARY</t>
  </si>
  <si>
    <t>STUDENT INFORMATION</t>
  </si>
  <si>
    <t>Student Name:</t>
  </si>
  <si>
    <t>Student ID:</t>
  </si>
  <si>
    <t>Course:</t>
  </si>
  <si>
    <t>Assignment:</t>
  </si>
  <si>
    <t>AI USAGE SUMMARY</t>
  </si>
  <si>
    <t>Total Prompts Used (all AI tools):</t>
  </si>
  <si>
    <t>Core Prompts Logged:</t>
  </si>
  <si>
    <t>Selection Ratio:</t>
  </si>
  <si>
    <t>Should be 10-20%</t>
  </si>
  <si>
    <t>Hallucination Detected:</t>
  </si>
  <si>
    <t>AI TOOLS USED</t>
  </si>
  <si>
    <t>AI Tool</t>
  </si>
  <si>
    <t>Purpose</t>
  </si>
  <si>
    <t>Frequency</t>
  </si>
  <si>
    <t>Main Value</t>
  </si>
  <si>
    <t>ChatGPT</t>
  </si>
  <si>
    <t>Code generation, debugging</t>
  </si>
  <si>
    <t>Rapid prototyping</t>
  </si>
  <si>
    <t>Claude</t>
  </si>
  <si>
    <t>Requirement analysis, design review</t>
  </si>
  <si>
    <t>Medium</t>
  </si>
  <si>
    <t>Deep reflection</t>
  </si>
  <si>
    <t>GitHub Copilot</t>
  </si>
  <si>
    <t>Auto-completion</t>
  </si>
  <si>
    <t>Speed up coding</t>
  </si>
  <si>
    <t>CORE PROMPTS DISTRIBUTION BY DTC COMPONENT</t>
  </si>
  <si>
    <t>DTC Component</t>
  </si>
  <si>
    <t>Number of Prompts</t>
  </si>
  <si>
    <t>Required (Min)</t>
  </si>
  <si>
    <t>Decomposition</t>
  </si>
  <si>
    <t>≥ 1</t>
  </si>
  <si>
    <t>Pattern Recognition</t>
  </si>
  <si>
    <t>Abstraction</t>
  </si>
  <si>
    <t>Algorithms</t>
  </si>
  <si>
    <t>DETAILED AI AUDIT LOG</t>
  </si>
  <si>
    <t>INSTRUCTIONS: Chỉ ghi CORE PROMPTS (Decision/Problem-Solving/Verification). Mỗi entry phải trả lời đầy đủ 4 câu hỏi trong Human Delta.</t>
  </si>
  <si>
    <t>Entry #</t>
  </si>
  <si>
    <t>Prompt Type</t>
  </si>
  <si>
    <t>Stage/Component</t>
  </si>
  <si>
    <t>Problem/Context</t>
  </si>
  <si>
    <t>Prompt to AI</t>
  </si>
  <si>
    <t>AI Response (Summary)</t>
  </si>
  <si>
    <t>Human Delta &amp; Reflection</t>
  </si>
  <si>
    <t>Evidence</t>
  </si>
  <si>
    <t>001</t>
  </si>
  <si>
    <t>002</t>
  </si>
  <si>
    <t>003</t>
  </si>
  <si>
    <t>HALLUCINATION DETECTION LOG (BẮT BUỘC)</t>
  </si>
  <si>
    <t>MỖI PROJECT PHẢI PHÁT HIỆN ÍT NHẤT: Lab (≥1), Assignment (≥2), Project (≥3) cases hallucination</t>
  </si>
  <si>
    <t>Entry # (from Sheet 2)</t>
  </si>
  <si>
    <t>Hallucination Type</t>
  </si>
  <si>
    <t>AI's Claim</t>
  </si>
  <si>
    <t>Reality Check</t>
  </si>
  <si>
    <t>How Detected</t>
  </si>
  <si>
    <t>Corrective Action</t>
  </si>
  <si>
    <t>Fabrication</t>
  </si>
  <si>
    <t>HALLUCINATION TYPES REFERENCE:</t>
  </si>
  <si>
    <t>Type</t>
  </si>
  <si>
    <t>Definition</t>
  </si>
  <si>
    <t>Example</t>
  </si>
  <si>
    <t>AI tạo ra thông tin không tồn tại</t>
  </si>
  <si>
    <t>Fake papers, fake APIs, fake data</t>
  </si>
  <si>
    <t>Oversimplification</t>
  </si>
  <si>
    <t>AI bỏ qua edge cases, exceptions</t>
  </si>
  <si>
    <t>Code không handle array rỗng</t>
  </si>
  <si>
    <t>Logic Error</t>
  </si>
  <si>
    <t>AI đưa kết luận sai về 'best practice'</t>
  </si>
  <si>
    <t>'XGBoost always best' → Sai</t>
  </si>
  <si>
    <t>Outdated Info</t>
  </si>
  <si>
    <t>AI dùng thông tin cũ, không còn đúng</t>
  </si>
  <si>
    <t>Old API syntax, deprecated methods</t>
  </si>
  <si>
    <t>Context Misunderstanding</t>
  </si>
  <si>
    <t>AI không hiểu đúng bối cảnh</t>
  </si>
  <si>
    <t>Không biết business constraints</t>
  </si>
  <si>
    <t>SELF-ASSESSMENT CHECKLIST (Trước khi nộp)</t>
  </si>
  <si>
    <t>Kiểm tra kỹ trước khi nộp. MỖI ENTRY phải pass ≥4/5 tiêu chí dưới đây.</t>
  </si>
  <si>
    <t>A. KIỂM TRA CHẤT LƯỢNG MỖI ENTRY (Pass ≥4/5)</t>
  </si>
  <si>
    <t>#</t>
  </si>
  <si>
    <t>Tiêu chí</t>
  </si>
  <si>
    <t>Pass?</t>
  </si>
  <si>
    <t>Note</t>
  </si>
  <si>
    <t>1</t>
  </si>
  <si>
    <t>Prompt này ảnh hưởng đến quyết định quan trọng trong project?</t>
  </si>
  <si>
    <t>☐</t>
  </si>
  <si>
    <t>2</t>
  </si>
  <si>
    <t>Nếu không có prompt này, project có thay đổi về architecture/design?</t>
  </si>
  <si>
    <t>3</t>
  </si>
  <si>
    <t>Tôi có thể giải thích lý do chọn/không chọn gợi ý của AI?</t>
  </si>
  <si>
    <t>4</t>
  </si>
  <si>
    <t>Có minh chứng cụ thể (code, metrics, comparison)?</t>
  </si>
  <si>
    <t>5</t>
  </si>
  <si>
    <t>Prompt này phản ánh tư duy phản biện, không chỉ copy AI?</t>
  </si>
  <si>
    <t>B. KIỂM TRA TỔNG THỂ LOG</t>
  </si>
  <si>
    <t>Current Value</t>
  </si>
  <si>
    <t>Số lượng entries nằm trong range (min-max)?</t>
  </si>
  <si>
    <t>Mỗi DTC component có ít nhất 1 core prompt?</t>
  </si>
  <si>
    <t>Đã phát hiện ≥ số lượng hallucination yêu cầu?</t>
  </si>
  <si>
    <t>Mỗi entry đều có Human Delta đầy đủ (4 câu hỏi)?</t>
  </si>
  <si>
    <t>Có evidence cho ≥70% entries?</t>
  </si>
  <si>
    <t>⚠️ LƯU Ý QUAN TRỌNG:</t>
  </si>
  <si>
    <t>Nếu entry KHÔNG pass ≥4/5 tiêu chí → LOẠI BỎ, không ghi vào Log</t>
  </si>
  <si>
    <t>Nếu FAIL ≥2 tiêu chí tổng thể → AI Reflection = 0 điểm (mất 30%)</t>
  </si>
  <si>
    <t>C. CHUẨN BỊ CHO ORAL VIVAS (Q&amp;A)</t>
  </si>
  <si>
    <t>Giảng viên sẽ hỏi ngẫu nhiên về 3-5 entries. Tự hỏi bản thân:</t>
  </si>
  <si>
    <t>Tôi có thể giải thích tại sao chọn approach này?</t>
  </si>
  <si>
    <t>Tôi có nhớ AI response?</t>
  </si>
  <si>
    <t>Tôi có evidence?</t>
  </si>
  <si>
    <t>Trần Thanh Nguyên</t>
  </si>
  <si>
    <t>QE200015</t>
  </si>
  <si>
    <t>CSD201</t>
  </si>
  <si>
    <t>Browser History</t>
  </si>
  <si>
    <t>Gemini</t>
  </si>
  <si>
    <t>Very High</t>
  </si>
  <si>
    <t>Deep reflection, speedup coding</t>
  </si>
  <si>
    <t>Architectural Prompt</t>
  </si>
  <si>
    <t>Decomposition &amp; Project Initiation Stage</t>
  </si>
  <si>
    <t>The AI proposed a task delegation framework for a 4-member team and suggested common data structure approaches to manage browser history, heavily leaning towards boilerplate solutions like standard Arrays/ArrayLists (for index management) or using two separate Stacks for Back and Forward operations.</t>
  </si>
  <si>
    <t>"Nhóm t có 4 thành viên, hãy phân chia công việc để tạo nên 1 mô phỏng về trình duyệt web, nút backward, forward, lưu lịch sử duyệt web..."</t>
  </si>
  <si>
    <t>The technical breakdown of the Node and BrowserHistory classes in Report 1, specifically the pointer mutation logic: current.next = newNode.</t>
  </si>
  <si>
    <t>Functional Specification Prompt</t>
  </si>
  <si>
    <t>Case Study Development</t>
  </si>
  <si>
    <t>The AI generated a generalized, linear user experience scenario demonstrating everyday web browsing. However, it failed to address edge cases or the underlying memory mutation mechanics triggered during a history "conflict" or branching event.</t>
  </si>
  <si>
    <t>Critique: The AI designed a flawless, linear workflow that failed to stress-test the data structure under risky edge-case scenarios.
Human Correction: Member A manually injected Step 5 (The Branching Scenario) into the Case Study. This step specifies that when a user navigates backward into the past and visits a new URL, the system must break the existing pointer linkages and isolate the obsolete "future" nodes. This explicitly triggers the garbage collector to prevent memory leaks—a critical engineering constraint that AI-generated boilerplate code frequently overlooks.</t>
  </si>
  <si>
    <t>The 5-step scenario matrix embedded in the official Case Study document, emphasizing the memory management logic executed during Step 5.</t>
  </si>
  <si>
    <t>"Dựa trên những phân tích ở trên, hãy viết Case Study cho bài toán, bao gồm mô tả dự án, các Functional Requirement, User Flow… viết bằng tiếng anh"</t>
  </si>
  <si>
    <t>Conceptual Clarification Prompt</t>
  </si>
  <si>
    <t>Oral Vivas Preparation / Defence Strategy</t>
  </si>
  <si>
    <t>"Human Delta là cả nhóm cùng làm hay chỉ 1 người làm thôi"</t>
  </si>
  <si>
    <t>The project guidelines require the team to simulate a web browser's core navigation behavior (Back, Forward, and History preservation) within a 4-member team. We needed a foundational architecture and a structural breakdown to assign coding tasks without creating redundant operations.</t>
  </si>
  <si>
    <t xml:space="preserve"> Critique: The team realized the AI's suggestions followed generic, unoptimized design patterns. If an Array is used, the time complexity for branching the history (deleting trailing elements to insert a new path) becomes $O(n)$, causing severe latency as the history grows. If two Stacks are used, implementing the required Show History feature (printing the chronological timeline) becomes highly inefficient and convoluted, as it violates the strict Last-In, First-Out (LIFO) nature of Stacks and requires temporarily destroying the structure to read the data. Human Correction: The team rejected both the Array and Stack architectures. Instead, we collectively decided to implement a custom Doubly Linked List combined with a current pointer. This ensures an optimal $O(1)$ time complexity for both navigation (Back/Forward) and branching, while keeping history traversal straightforward at $O(n)$.</t>
  </si>
  <si>
    <t>the instructor requires a realistic Case Study that outlines a clear walkthrough scenario. The document must prove how the system reacts to runtime user commands and how the chosen data structure behaves behind the scenes.</t>
  </si>
  <si>
    <t>The assessment rubric heavily grades individual performance during Oral Vivas (vấn đáp). We needed to understand the exact scope of the mandatory "Human Delta" criterion and determine whether it should be handled by a single speaker or demonstrated uniformly across all team members.</t>
  </si>
  <si>
    <t>The AI provided a theoretical definition of the term "Human Delta" (the distinct value add and critical thinking contributed by humans that AI cannot replicate). It explained that this is a collective team responsibility rather than an individual role.</t>
  </si>
  <si>
    <r>
      <t>Critique:</t>
    </r>
    <r>
      <rPr>
        <sz val="11"/>
        <color theme="1"/>
        <rFont val="Calibri"/>
        <family val="2"/>
        <scheme val="minor"/>
      </rPr>
      <t xml:space="preserve"> The AI's initial response was purely conceptual and lacked actionable application within an academic defense environment. Human Correction: The team operationalized this concept into a synchronized Oral Vivas Defense Strategy. We mapped out distinct "Human Delta" defense points for each role: Member A (rectifying flawed AI-generated UML relationships), Members B &amp; C (debugging memory and pointer exceptions overlooked by the AI), and Member D (authoring extreme edge-case boundary testing KPIs).</t>
    </r>
  </si>
  <si>
    <t>The finalized team defense strategy guidelines, including the specific response matrix for technical questions (e.g., explaining why the team engineered a custom structure rather than using the native java.util.LinkedList library).</t>
  </si>
  <si>
    <t>Logic &amp; Algorithmic Flaw</t>
  </si>
  <si>
    <r>
      <t xml:space="preserve">The AI provided a code snippet that merely assigned </t>
    </r>
    <r>
      <rPr>
        <sz val="10"/>
        <color theme="1"/>
        <rFont val="Arial Unicode MS"/>
      </rPr>
      <t>current.next = newNode</t>
    </r>
    <r>
      <rPr>
        <sz val="11"/>
        <color theme="1"/>
        <rFont val="Calibri"/>
        <family val="2"/>
        <scheme val="minor"/>
      </rPr>
      <t xml:space="preserve"> and confidently claimed that all obsolete trailing nodes would automatically be decoupled and memory would be fully optimized.</t>
    </r>
  </si>
  <si>
    <r>
      <t xml:space="preserve">In a real runtime environment, simply changing the </t>
    </r>
    <r>
      <rPr>
        <sz val="10"/>
        <color theme="1"/>
        <rFont val="Arial Unicode MS"/>
      </rPr>
      <t>next</t>
    </r>
    <r>
      <rPr>
        <sz val="11"/>
        <color theme="1"/>
        <rFont val="Calibri"/>
        <family val="2"/>
        <scheme val="minor"/>
      </rPr>
      <t xml:space="preserve"> pointer of the </t>
    </r>
    <r>
      <rPr>
        <sz val="10"/>
        <color theme="1"/>
        <rFont val="Arial Unicode MS"/>
      </rPr>
      <t>current</t>
    </r>
    <r>
      <rPr>
        <sz val="11"/>
        <color theme="1"/>
        <rFont val="Calibri"/>
        <family val="2"/>
        <scheme val="minor"/>
      </rPr>
      <t xml:space="preserve"> node without updating the system’s structural </t>
    </r>
    <r>
      <rPr>
        <sz val="10"/>
        <color theme="1"/>
        <rFont val="Arial Unicode MS"/>
      </rPr>
      <t>tail</t>
    </r>
    <r>
      <rPr>
        <sz val="11"/>
        <color theme="1"/>
        <rFont val="Calibri"/>
        <family val="2"/>
        <scheme val="minor"/>
      </rPr>
      <t xml:space="preserve"> pointer leaves the </t>
    </r>
    <r>
      <rPr>
        <sz val="10"/>
        <color theme="1"/>
        <rFont val="Arial Unicode MS"/>
      </rPr>
      <t>tail</t>
    </r>
    <r>
      <rPr>
        <sz val="11"/>
        <color theme="1"/>
        <rFont val="Calibri"/>
        <family val="2"/>
        <scheme val="minor"/>
      </rPr>
      <t xml:space="preserve"> bound to the old "future" nodes. This creates data inconsistency within the data structure and triggers a severe </t>
    </r>
    <r>
      <rPr>
        <b/>
        <sz val="11"/>
        <color theme="1"/>
        <rFont val="Calibri"/>
        <family val="2"/>
        <scheme val="minor"/>
      </rPr>
      <t>Memory Leak</t>
    </r>
    <r>
      <rPr>
        <sz val="11"/>
        <color theme="1"/>
        <rFont val="Calibri"/>
        <family val="2"/>
        <scheme val="minor"/>
      </rPr>
      <t>, as the garbage collector cannot release nodes that are still technically reachable via the system's global pointers.</t>
    </r>
  </si>
  <si>
    <r>
      <t>The team manually rewrote the source code to enforce strict data consistency: isolating the old forward path (</t>
    </r>
    <r>
      <rPr>
        <sz val="10"/>
        <color theme="1"/>
        <rFont val="Arial Unicode MS"/>
      </rPr>
      <t>current.next.prev = null</t>
    </r>
    <r>
      <rPr>
        <sz val="11"/>
        <color theme="1"/>
        <rFont val="Calibri"/>
        <family val="2"/>
        <scheme val="minor"/>
      </rPr>
      <t>), mutating the linkages (</t>
    </r>
    <r>
      <rPr>
        <sz val="10"/>
        <color theme="1"/>
        <rFont val="Arial Unicode MS"/>
      </rPr>
      <t>current.next = newNode</t>
    </r>
    <r>
      <rPr>
        <sz val="11"/>
        <color theme="1"/>
        <rFont val="Calibri"/>
        <family val="2"/>
        <scheme val="minor"/>
      </rPr>
      <t xml:space="preserve">; </t>
    </r>
    <r>
      <rPr>
        <sz val="10"/>
        <color theme="1"/>
        <rFont val="Arial Unicode MS"/>
      </rPr>
      <t>newNode.prev = current</t>
    </r>
    <r>
      <rPr>
        <sz val="11"/>
        <color theme="1"/>
        <rFont val="Calibri"/>
        <family val="2"/>
        <scheme val="minor"/>
      </rPr>
      <t xml:space="preserve">), and explicitly reassigning the global tracker: </t>
    </r>
    <r>
      <rPr>
        <sz val="10"/>
        <color theme="1"/>
        <rFont val="Arial Unicode MS"/>
      </rPr>
      <t>tail = newNode</t>
    </r>
    <r>
      <rPr>
        <sz val="11"/>
        <color theme="1"/>
        <rFont val="Calibri"/>
        <family val="2"/>
        <scheme val="minor"/>
      </rPr>
      <t>.</t>
    </r>
  </si>
  <si>
    <t>Functional Over-Simplification</t>
  </si>
  <si>
    <r>
      <t xml:space="preserve">The AI authored a generic navigation function that blindly shifted the tracking pointer using </t>
    </r>
    <r>
      <rPr>
        <sz val="10"/>
        <color theme="1"/>
        <rFont val="Arial Unicode MS"/>
      </rPr>
      <t>current = current.prev</t>
    </r>
    <r>
      <rPr>
        <sz val="11"/>
        <color theme="1"/>
        <rFont val="Calibri"/>
        <family val="2"/>
        <scheme val="minor"/>
      </rPr>
      <t xml:space="preserve"> without implementing any boundary or validation guardrails.</t>
    </r>
  </si>
  <si>
    <r>
      <t>If a user is currently resting at the very first page (</t>
    </r>
    <r>
      <rPr>
        <sz val="10"/>
        <color theme="1"/>
        <rFont val="Arial Unicode MS"/>
      </rPr>
      <t>head</t>
    </r>
    <r>
      <rPr>
        <sz val="11"/>
        <color theme="1"/>
        <rFont val="Calibri"/>
        <family val="2"/>
        <scheme val="minor"/>
      </rPr>
      <t>) and clicks the "Back" button, or stays at the latest page (</t>
    </r>
    <r>
      <rPr>
        <sz val="10"/>
        <color theme="1"/>
        <rFont val="Arial Unicode MS"/>
      </rPr>
      <t>tail</t>
    </r>
    <r>
      <rPr>
        <sz val="11"/>
        <color theme="1"/>
        <rFont val="Calibri"/>
        <family val="2"/>
        <scheme val="minor"/>
      </rPr>
      <t xml:space="preserve">) and clicks "Forward", the program will attempt to access properties of a </t>
    </r>
    <r>
      <rPr>
        <sz val="10"/>
        <color theme="1"/>
        <rFont val="Arial Unicode MS"/>
      </rPr>
      <t>null</t>
    </r>
    <r>
      <rPr>
        <sz val="11"/>
        <color theme="1"/>
        <rFont val="Calibri"/>
        <family val="2"/>
        <scheme val="minor"/>
      </rPr>
      <t xml:space="preserve"> memory address. This immediately causes a catastrophic runtime crash known as a </t>
    </r>
    <r>
      <rPr>
        <b/>
        <sz val="11"/>
        <color theme="1"/>
        <rFont val="Calibri"/>
        <family val="2"/>
        <scheme val="minor"/>
      </rPr>
      <t>NullPointerException (NPE)</t>
    </r>
    <r>
      <rPr>
        <sz val="11"/>
        <color theme="1"/>
        <rFont val="Calibri"/>
        <family val="2"/>
        <scheme val="minor"/>
      </rPr>
      <t>.</t>
    </r>
  </si>
  <si>
    <r>
      <t xml:space="preserve">The team engineered explicit conditional validation clauses (If-Else guardrails) to protect the boundaries: pointer mutation is permitted only if </t>
    </r>
    <r>
      <rPr>
        <sz val="10"/>
        <color theme="1"/>
        <rFont val="Arial Unicode MS"/>
      </rPr>
      <t>current.prev != null</t>
    </r>
    <r>
      <rPr>
        <sz val="11"/>
        <color theme="1"/>
        <rFont val="Calibri"/>
        <family val="2"/>
        <scheme val="minor"/>
      </rPr>
      <t xml:space="preserve">, otherwise, the system safely suppresses the error and alerts the console with a </t>
    </r>
    <r>
      <rPr>
        <i/>
        <sz val="11"/>
        <color theme="1"/>
        <rFont val="Calibri"/>
        <family val="2"/>
        <scheme val="minor"/>
      </rPr>
      <t>"No backward history available"</t>
    </r>
    <r>
      <rPr>
        <sz val="11"/>
        <color theme="1"/>
        <rFont val="Calibri"/>
        <family val="2"/>
        <scheme val="minor"/>
      </rPr>
      <t xml:space="preserve"> message.</t>
    </r>
  </si>
  <si>
    <r>
      <t>Member Phuc</t>
    </r>
    <r>
      <rPr>
        <sz val="11"/>
        <color theme="1"/>
        <rFont val="Calibri"/>
        <family val="2"/>
        <scheme val="minor"/>
      </rPr>
      <t xml:space="preserve"> executed a dry-run tracing of the algorithm on paper using the metrics from Step 5 of our Case Study and detected that the global </t>
    </r>
    <r>
      <rPr>
        <sz val="10"/>
        <color theme="1"/>
        <rFont val="Arial Unicode MS"/>
      </rPr>
      <t>tail</t>
    </r>
    <r>
      <rPr>
        <sz val="11"/>
        <color theme="1"/>
        <rFont val="Calibri"/>
        <family val="2"/>
        <scheme val="minor"/>
      </rPr>
      <t xml:space="preserve"> pointer was left completely stranded at the old end-node.</t>
    </r>
  </si>
  <si>
    <r>
      <t>Member Duy</t>
    </r>
    <r>
      <rPr>
        <sz val="11"/>
        <color theme="1"/>
        <rFont val="Calibri"/>
        <family val="2"/>
        <scheme val="minor"/>
      </rPr>
      <t xml:space="preserve"> executed Black-box testing on the early build, simulating an aggressive stress-test scenario where a user spam-clicks the "Back" command immediately upon opening a fresh browser instance.</t>
    </r>
  </si>
  <si>
    <t>Conceptual/Design Misalignment</t>
  </si>
  <si>
    <r>
      <t xml:space="preserve">The AI adamantly argued that a </t>
    </r>
    <r>
      <rPr>
        <sz val="10"/>
        <color theme="1"/>
        <rFont val="Arial Unicode MS"/>
      </rPr>
      <t>Stack</t>
    </r>
    <r>
      <rPr>
        <sz val="11"/>
        <color theme="1"/>
        <rFont val="Calibri"/>
        <family val="2"/>
        <scheme val="minor"/>
      </rPr>
      <t xml:space="preserve"> architecture was the absolute best solution because Back/Forward buttons inherently mimic a Last-In, First-Out (LIFO) pattern, asserting it would save memory and simplify codebase complexity.</t>
    </r>
  </si>
  <si>
    <r>
      <t xml:space="preserve">This claim heavily misaligns with real engineering requirements. A standard browser requires a linear, chronological </t>
    </r>
    <r>
      <rPr>
        <sz val="10"/>
        <color theme="1"/>
        <rFont val="Arial Unicode MS"/>
      </rPr>
      <t>Show History</t>
    </r>
    <r>
      <rPr>
        <sz val="11"/>
        <color theme="1"/>
        <rFont val="Calibri"/>
        <family val="2"/>
        <scheme val="minor"/>
      </rPr>
      <t xml:space="preserve"> interface. A Stack strictly prohibits linear traversal from the bottom to the top without completely destroying its dataset via destructive </t>
    </r>
    <r>
      <rPr>
        <sz val="10"/>
        <color theme="1"/>
        <rFont val="Arial Unicode MS"/>
      </rPr>
      <t>pop()</t>
    </r>
    <r>
      <rPr>
        <sz val="11"/>
        <color theme="1"/>
        <rFont val="Calibri"/>
        <family val="2"/>
        <scheme val="minor"/>
      </rPr>
      <t xml:space="preserve"> loops. Furthermore, a Stack is entirely incapable of managing mid-chain branching events unless wrapped in cumbersome, resource-heavy secondary data structures.</t>
    </r>
  </si>
  <si>
    <r>
      <t>A</t>
    </r>
    <r>
      <rPr>
        <sz val="11"/>
        <color theme="1"/>
        <rFont val="Calibri"/>
        <family val="2"/>
        <scheme val="minor"/>
      </rPr>
      <t xml:space="preserve"> cross-referenced the project's Non-functional performance requirements specified in our Case Study with the structural limitations of a Stack and caught the structural contradiction.</t>
    </r>
  </si>
  <si>
    <r>
      <t xml:space="preserve">The team vetoed the AI's design suggestion entirely. We took ownership of the architecture and engineered a custom </t>
    </r>
    <r>
      <rPr>
        <b/>
        <sz val="11"/>
        <color theme="1"/>
        <rFont val="Arial"/>
        <family val="2"/>
      </rPr>
      <t>Doubly Linked List</t>
    </r>
    <r>
      <rPr>
        <sz val="11"/>
        <color theme="1"/>
        <rFont val="Calibri"/>
        <family val="2"/>
        <scheme val="minor"/>
      </rPr>
      <t xml:space="preserve">, perfectly satisfying all three crucial runtime criteria: </t>
    </r>
    <r>
      <rPr>
        <sz val="11"/>
        <color theme="1"/>
        <rFont val="Arial"/>
        <family val="2"/>
      </rPr>
      <t>$O(1)$</t>
    </r>
    <r>
      <rPr>
        <sz val="11"/>
        <color theme="1"/>
        <rFont val="Calibri"/>
        <family val="2"/>
        <scheme val="minor"/>
      </rPr>
      <t xml:space="preserve"> Backward traversal, </t>
    </r>
    <r>
      <rPr>
        <sz val="11"/>
        <color theme="1"/>
        <rFont val="Arial"/>
        <family val="2"/>
      </rPr>
      <t>$O(1)$</t>
    </r>
    <r>
      <rPr>
        <sz val="11"/>
        <color theme="1"/>
        <rFont val="Calibri"/>
        <family val="2"/>
        <scheme val="minor"/>
      </rPr>
      <t xml:space="preserve"> Forward traversal, and a simple, non-destructive </t>
    </r>
    <r>
      <rPr>
        <sz val="11"/>
        <color theme="1"/>
        <rFont val="Arial"/>
        <family val="2"/>
      </rPr>
      <t>$O(n)$</t>
    </r>
    <r>
      <rPr>
        <sz val="11"/>
        <color theme="1"/>
        <rFont val="Calibri"/>
        <family val="2"/>
        <scheme val="minor"/>
      </rPr>
      <t xml:space="preserve"> timeline loop for the History tab.</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</si>
</sst>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23">
    <font>
      <sz val="11"/>
      <color theme="1"/>
      <name val="Calibri"/>
      <family val="2"/>
      <scheme val="minor"/>
    </font>
    <font>
      <b/>
      <sz val="14"/>
      <color rgb="FF2E75B6"/>
      <name val="Calibri"/>
    </font>
    <font>
      <b/>
      <sz val="11"/>
      <name val="Calibri"/>
    </font>
    <font>
      <b/>
      <sz val="11"/>
      <color rgb="FFFFFFFF"/>
      <name val="Calibri"/>
    </font>
    <font>
      <b/>
      <sz val="16"/>
      <color rgb="FFFF0000"/>
      <name val="Calibri"/>
    </font>
    <font>
      <b/>
      <i/>
      <sz val="10"/>
      <color rgb="FFFF0000"/>
      <name val="Calibri"/>
    </font>
    <font>
      <sz val="11"/>
      <color theme="1"/>
      <name val="Times New Roman"/>
      <family val="1"/>
    </font>
    <font>
      <b/>
      <sz val="11"/>
      <color theme="1"/>
      <name val="Times New Roman"/>
      <family val="1"/>
    </font>
    <font>
      <b/>
      <sz val="16"/>
      <color rgb="FF2E75B6"/>
      <name val="Times New Roman"/>
      <family val="1"/>
    </font>
    <font>
      <i/>
      <sz val="10"/>
      <color rgb="FF666666"/>
      <name val="Times New Roman"/>
      <family val="1"/>
    </font>
    <font>
      <b/>
      <sz val="11"/>
      <color rgb="FFFFFFFF"/>
      <name val="Times New Roman"/>
      <family val="1"/>
    </font>
    <font>
      <b/>
      <sz val="14"/>
      <color rgb="FF2E75B6"/>
      <name val="Times New Roman"/>
      <family val="1"/>
    </font>
    <font>
      <b/>
      <sz val="11"/>
      <name val="Times New Roman"/>
      <family val="1"/>
    </font>
    <font>
      <i/>
      <sz val="9"/>
      <color rgb="FF666666"/>
      <name val="Times New Roman"/>
      <family val="1"/>
    </font>
    <font>
      <sz val="10"/>
      <name val="Times New Roman"/>
      <family val="1"/>
    </font>
    <font>
      <b/>
      <sz val="12"/>
      <color rgb="FFFF0000"/>
      <name val="Times New Roman"/>
      <family val="1"/>
    </font>
    <font>
      <sz val="11"/>
      <color rgb="FFFF0000"/>
      <name val="Times New Roman"/>
      <family val="1"/>
    </font>
    <font>
      <i/>
      <sz val="10"/>
      <name val="Times New Roman"/>
      <family val="1"/>
    </font>
    <font>
      <b/>
      <sz val="11"/>
      <color theme="1"/>
      <name val="Calibri"/>
      <family val="2"/>
      <scheme val="minor"/>
    </font>
    <font>
      <sz val="11"/>
      <color theme="1"/>
      <name val="Arial"/>
      <family val="2"/>
    </font>
    <font>
      <b/>
      <sz val="11"/>
      <color theme="1"/>
      <name val="Arial"/>
      <family val="2"/>
    </font>
    <font>
      <i/>
      <sz val="11"/>
      <color theme="1"/>
      <name val="Calibri"/>
      <family val="2"/>
      <scheme val="minor"/>
    </font>
    <font>
      <sz val="10"/>
      <color theme="1"/>
      <name val="Arial Unicode MS"/>
    </font>
  </fonts>
  <fills count="5">
    <fill>
      <patternFill patternType="none"/>
    </fill>
    <fill>
      <patternFill patternType="gray125"/>
    </fill>
    <fill>
      <patternFill patternType="solid">
        <fgColor rgb="FFFFFF00"/>
        <bgColor rgb="FFFFFF00"/>
      </patternFill>
    </fill>
    <fill>
      <patternFill patternType="solid">
        <fgColor rgb="FF2E75B6"/>
        <bgColor rgb="FF2E75B6"/>
      </patternFill>
    </fill>
    <fill>
      <patternFill patternType="solid">
        <fgColor rgb="FFF2F2F2"/>
        <bgColor rgb="FFF2F2F2"/>
      </patternFill>
    </fill>
  </fills>
  <borders count="3">
    <border>
      <left/>
      <right/>
      <top/>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bottom style="thin">
        <color rgb="FFCCCCCC"/>
      </bottom>
      <diagonal/>
    </border>
  </borders>
  <cellStyleXfs count="1">
    <xf numFmtId="0" fontId="0" fillId="0" borderId="0"/>
  </cellStyleXfs>
  <cellXfs count="46">
    <xf numFmtId="0" fontId="0" fillId="0" borderId="0" xfId="0"/>
    <xf numFmtId="0" fontId="1" fillId="0" borderId="0" xfId="0" applyFont="1"/>
    <xf numFmtId="0" fontId="3" fillId="3" borderId="1" xfId="0" applyFont="1" applyFill="1" applyBorder="1" applyAlignment="1">
      <alignment horizontal="center" vertical="center" wrapText="1"/>
    </xf>
    <xf numFmtId="0" fontId="0" fillId="0" borderId="1" xfId="0" applyBorder="1" applyAlignment="1">
      <alignment horizontal="left" vertical="top" wrapText="1"/>
    </xf>
    <xf numFmtId="0" fontId="2" fillId="4" borderId="1" xfId="0" applyFont="1" applyFill="1" applyBorder="1" applyAlignment="1">
      <alignment horizontal="left" vertical="top" wrapText="1"/>
    </xf>
    <xf numFmtId="0" fontId="6" fillId="0" borderId="1" xfId="0" applyFont="1" applyBorder="1" applyAlignment="1">
      <alignment vertical="center" wrapText="1"/>
    </xf>
    <xf numFmtId="0" fontId="6" fillId="0" borderId="0" xfId="0" applyFont="1" applyAlignment="1">
      <alignment vertical="center" wrapText="1"/>
    </xf>
    <xf numFmtId="0" fontId="7" fillId="0" borderId="0" xfId="0" applyFont="1" applyAlignment="1">
      <alignment vertical="center" wrapText="1"/>
    </xf>
    <xf numFmtId="0" fontId="6" fillId="0" borderId="0" xfId="0" applyFont="1"/>
    <xf numFmtId="0" fontId="10" fillId="3" borderId="1" xfId="0" applyFont="1" applyFill="1" applyBorder="1" applyAlignment="1">
      <alignment horizontal="center" vertical="center" wrapText="1"/>
    </xf>
    <xf numFmtId="0" fontId="6" fillId="0" borderId="1" xfId="0" quotePrefix="1" applyFont="1" applyBorder="1" applyAlignment="1">
      <alignment vertical="center" wrapText="1"/>
    </xf>
    <xf numFmtId="0" fontId="6" fillId="0" borderId="1" xfId="0" quotePrefix="1" applyFont="1" applyBorder="1" applyAlignment="1">
      <alignment horizontal="left" vertical="top" wrapText="1"/>
    </xf>
    <xf numFmtId="0" fontId="6" fillId="0" borderId="1" xfId="0" applyFont="1" applyBorder="1" applyAlignment="1">
      <alignment horizontal="left" vertical="top" wrapText="1"/>
    </xf>
    <xf numFmtId="0" fontId="11" fillId="0" borderId="0" xfId="0" applyFont="1"/>
    <xf numFmtId="0" fontId="12" fillId="0" borderId="0" xfId="0" applyFont="1"/>
    <xf numFmtId="0" fontId="6" fillId="2" borderId="0" xfId="0" applyFont="1" applyFill="1"/>
    <xf numFmtId="164" fontId="6" fillId="0" borderId="0" xfId="0" applyNumberFormat="1" applyFont="1"/>
    <xf numFmtId="0" fontId="13" fillId="0" borderId="0" xfId="0" applyFont="1"/>
    <xf numFmtId="0" fontId="6" fillId="2" borderId="1" xfId="0" applyFont="1" applyFill="1" applyBorder="1" applyAlignment="1">
      <alignment horizontal="center" vertical="center" wrapText="1"/>
    </xf>
    <xf numFmtId="0" fontId="6" fillId="0" borderId="1" xfId="0" applyFont="1" applyBorder="1" applyAlignment="1">
      <alignment horizontal="center" vertical="center" wrapText="1"/>
    </xf>
    <xf numFmtId="0" fontId="10" fillId="3" borderId="1" xfId="0" applyFont="1" applyFill="1" applyBorder="1" applyAlignment="1">
      <alignment horizontal="left" vertical="top" wrapText="1"/>
    </xf>
    <xf numFmtId="0" fontId="14" fillId="0" borderId="1" xfId="0" applyFont="1" applyBorder="1" applyAlignment="1">
      <alignment horizontal="center" vertical="center" wrapText="1"/>
    </xf>
    <xf numFmtId="0" fontId="14" fillId="0" borderId="1" xfId="0" applyFont="1" applyBorder="1" applyAlignment="1">
      <alignment horizontal="left" vertical="top" wrapText="1"/>
    </xf>
    <xf numFmtId="0" fontId="15" fillId="0" borderId="0" xfId="0" applyFont="1"/>
    <xf numFmtId="0" fontId="16" fillId="0" borderId="0" xfId="0" applyFont="1"/>
    <xf numFmtId="0" fontId="17" fillId="0" borderId="0" xfId="0" applyFont="1"/>
    <xf numFmtId="0" fontId="12" fillId="4" borderId="1" xfId="0" applyFont="1" applyFill="1" applyBorder="1" applyAlignment="1">
      <alignment horizontal="center" vertical="center" wrapText="1"/>
    </xf>
    <xf numFmtId="0" fontId="12" fillId="4" borderId="1" xfId="0" applyFont="1" applyFill="1" applyBorder="1" applyAlignment="1">
      <alignment horizontal="left" vertical="top" wrapText="1"/>
    </xf>
    <xf numFmtId="0" fontId="8" fillId="0" borderId="0" xfId="0" applyFont="1" applyAlignment="1">
      <alignment horizontal="center" vertical="center" wrapText="1"/>
    </xf>
    <xf numFmtId="0" fontId="6" fillId="0" borderId="0" xfId="0" applyFont="1"/>
    <xf numFmtId="0" fontId="9" fillId="0" borderId="0" xfId="0" applyFont="1" applyAlignment="1">
      <alignment horizontal="left" vertical="top" wrapText="1"/>
    </xf>
    <xf numFmtId="0" fontId="5" fillId="0" borderId="0" xfId="0" applyFont="1" applyAlignment="1">
      <alignment horizontal="center" vertical="center" wrapText="1"/>
    </xf>
    <xf numFmtId="0" fontId="4" fillId="0" borderId="0" xfId="0" applyFont="1" applyAlignment="1">
      <alignment horizontal="center" vertical="center" wrapText="1"/>
    </xf>
    <xf numFmtId="0" fontId="9" fillId="0" borderId="0" xfId="0" applyFont="1" applyAlignment="1">
      <alignment horizontal="center" vertical="center" wrapText="1"/>
    </xf>
    <xf numFmtId="0" fontId="0" fillId="0" borderId="0" xfId="0" applyAlignment="1">
      <alignment vertical="center" wrapText="1"/>
    </xf>
    <xf numFmtId="0" fontId="0" fillId="0" borderId="0" xfId="0" applyAlignment="1">
      <alignment wrapText="1"/>
    </xf>
    <xf numFmtId="0" fontId="6" fillId="0" borderId="0" xfId="0" applyFont="1" applyAlignment="1">
      <alignment wrapText="1"/>
    </xf>
    <xf numFmtId="0" fontId="0" fillId="0" borderId="0" xfId="0" applyFont="1" applyAlignment="1">
      <alignment vertical="center" wrapText="1"/>
    </xf>
    <xf numFmtId="0" fontId="0" fillId="0" borderId="0" xfId="0" applyAlignment="1">
      <alignment vertical="top" wrapText="1"/>
    </xf>
    <xf numFmtId="0" fontId="21" fillId="0" borderId="0" xfId="0" applyFont="1"/>
    <xf numFmtId="0" fontId="21" fillId="0" borderId="0" xfId="0" applyFont="1" applyAlignment="1">
      <alignment vertical="center" wrapText="1"/>
    </xf>
    <xf numFmtId="0" fontId="6" fillId="0" borderId="2" xfId="0" applyFont="1" applyBorder="1" applyAlignment="1">
      <alignment horizontal="left" vertical="top" wrapText="1"/>
    </xf>
    <xf numFmtId="0" fontId="6" fillId="0" borderId="0" xfId="0" applyFont="1" applyBorder="1" applyAlignment="1">
      <alignment vertical="center" wrapText="1"/>
    </xf>
    <xf numFmtId="0" fontId="0" fillId="0" borderId="1" xfId="0" quotePrefix="1" applyBorder="1" applyAlignment="1">
      <alignment horizontal="left" vertical="center" wrapText="1"/>
    </xf>
    <xf numFmtId="0" fontId="0" fillId="0" borderId="0" xfId="0" applyAlignment="1">
      <alignment vertical="center" wrapText="1"/>
    </xf>
    <xf numFmtId="0" fontId="18" fillId="0" borderId="0" xfId="0" applyFont="1" applyAlignment="1">
      <alignment vertical="center"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27"/>
  <sheetViews>
    <sheetView workbookViewId="0">
      <selection activeCell="B27" sqref="B27"/>
    </sheetView>
  </sheetViews>
  <sheetFormatPr defaultColWidth="8.77734375" defaultRowHeight="13.8"/>
  <cols>
    <col min="1" max="1" width="25" style="8" customWidth="1"/>
    <col min="2" max="2" width="40" style="8" customWidth="1"/>
    <col min="3" max="3" width="15" style="8" customWidth="1"/>
    <col min="4" max="4" width="30" style="8" customWidth="1"/>
    <col min="5" max="6" width="20" style="8" customWidth="1"/>
    <col min="7" max="16384" width="8.77734375" style="8"/>
  </cols>
  <sheetData>
    <row r="1" spans="1:6">
      <c r="A1" s="28" t="s">
        <v>0</v>
      </c>
      <c r="B1" s="29"/>
      <c r="C1" s="29"/>
      <c r="D1" s="29"/>
      <c r="E1" s="29"/>
      <c r="F1" s="29"/>
    </row>
    <row r="3" spans="1:6" ht="17.399999999999999">
      <c r="A3" s="13" t="s">
        <v>1</v>
      </c>
    </row>
    <row r="4" spans="1:6">
      <c r="A4" s="14" t="s">
        <v>2</v>
      </c>
      <c r="C4" s="8" t="s">
        <v>109</v>
      </c>
    </row>
    <row r="5" spans="1:6">
      <c r="A5" s="14" t="s">
        <v>3</v>
      </c>
      <c r="C5" s="8" t="s">
        <v>110</v>
      </c>
    </row>
    <row r="6" spans="1:6">
      <c r="A6" s="14" t="s">
        <v>4</v>
      </c>
      <c r="C6" s="8" t="s">
        <v>111</v>
      </c>
    </row>
    <row r="7" spans="1:6">
      <c r="A7" s="14" t="s">
        <v>5</v>
      </c>
      <c r="C7" s="8" t="s">
        <v>112</v>
      </c>
    </row>
    <row r="9" spans="1:6" ht="17.399999999999999">
      <c r="A9" s="13" t="s">
        <v>6</v>
      </c>
    </row>
    <row r="10" spans="1:6">
      <c r="A10" s="14" t="s">
        <v>7</v>
      </c>
      <c r="C10" s="8">
        <v>24</v>
      </c>
    </row>
    <row r="11" spans="1:6">
      <c r="A11" s="14" t="s">
        <v>8</v>
      </c>
      <c r="C11" s="15">
        <v>2</v>
      </c>
    </row>
    <row r="12" spans="1:6">
      <c r="A12" s="14" t="s">
        <v>9</v>
      </c>
      <c r="C12" s="16">
        <f>C11/C10</f>
        <v>8.3333333333333329E-2</v>
      </c>
      <c r="E12" s="17" t="s">
        <v>10</v>
      </c>
    </row>
    <row r="13" spans="1:6">
      <c r="A13" s="14" t="s">
        <v>11</v>
      </c>
      <c r="C13" s="15">
        <v>0</v>
      </c>
    </row>
    <row r="15" spans="1:6" ht="17.399999999999999">
      <c r="A15" s="13" t="s">
        <v>12</v>
      </c>
    </row>
    <row r="16" spans="1:6">
      <c r="A16" s="9" t="s">
        <v>13</v>
      </c>
      <c r="B16" s="9" t="s">
        <v>14</v>
      </c>
      <c r="C16" s="9" t="s">
        <v>15</v>
      </c>
      <c r="D16" s="9" t="s">
        <v>16</v>
      </c>
    </row>
    <row r="17" spans="1:4">
      <c r="A17" s="12" t="s">
        <v>17</v>
      </c>
      <c r="B17" s="12" t="s">
        <v>18</v>
      </c>
      <c r="C17" s="12" t="s">
        <v>22</v>
      </c>
      <c r="D17" s="12" t="s">
        <v>19</v>
      </c>
    </row>
    <row r="18" spans="1:4">
      <c r="A18" s="12" t="s">
        <v>20</v>
      </c>
      <c r="B18" s="12" t="s">
        <v>21</v>
      </c>
      <c r="C18" s="12" t="s">
        <v>22</v>
      </c>
      <c r="D18" s="12" t="s">
        <v>23</v>
      </c>
    </row>
    <row r="19" spans="1:4">
      <c r="A19" s="12" t="s">
        <v>24</v>
      </c>
      <c r="B19" s="12" t="s">
        <v>25</v>
      </c>
      <c r="C19" s="12" t="s">
        <v>22</v>
      </c>
      <c r="D19" s="12" t="s">
        <v>26</v>
      </c>
    </row>
    <row r="20" spans="1:4">
      <c r="A20" s="12" t="s">
        <v>113</v>
      </c>
      <c r="B20" s="12" t="s">
        <v>21</v>
      </c>
      <c r="C20" s="12" t="s">
        <v>114</v>
      </c>
      <c r="D20" s="12" t="s">
        <v>115</v>
      </c>
    </row>
    <row r="22" spans="1:4" ht="17.399999999999999">
      <c r="A22" s="13" t="s">
        <v>27</v>
      </c>
    </row>
    <row r="23" spans="1:4">
      <c r="A23" s="9" t="s">
        <v>28</v>
      </c>
      <c r="B23" s="9" t="s">
        <v>29</v>
      </c>
      <c r="C23" s="9" t="s">
        <v>30</v>
      </c>
    </row>
    <row r="24" spans="1:4">
      <c r="A24" s="12" t="s">
        <v>31</v>
      </c>
      <c r="B24" s="18">
        <v>2</v>
      </c>
      <c r="C24" s="19" t="s">
        <v>32</v>
      </c>
    </row>
    <row r="25" spans="1:4">
      <c r="A25" s="12" t="s">
        <v>33</v>
      </c>
      <c r="B25" s="18">
        <v>2</v>
      </c>
      <c r="C25" s="19" t="s">
        <v>32</v>
      </c>
    </row>
    <row r="26" spans="1:4">
      <c r="A26" s="12" t="s">
        <v>34</v>
      </c>
      <c r="B26" s="18">
        <v>3</v>
      </c>
      <c r="C26" s="19" t="s">
        <v>32</v>
      </c>
    </row>
    <row r="27" spans="1:4">
      <c r="A27" s="12" t="s">
        <v>35</v>
      </c>
      <c r="B27" s="18">
        <v>4</v>
      </c>
      <c r="C27" s="19" t="s">
        <v>32</v>
      </c>
    </row>
  </sheetData>
  <mergeCells count="1">
    <mergeCell ref="A1:F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25"/>
  <sheetViews>
    <sheetView zoomScale="91" workbookViewId="0">
      <selection activeCell="A7" sqref="A7"/>
    </sheetView>
  </sheetViews>
  <sheetFormatPr defaultRowHeight="14.4"/>
  <cols>
    <col min="1" max="1" width="8" customWidth="1"/>
    <col min="2" max="2" width="18" customWidth="1"/>
    <col min="3" max="3" width="18" style="35" customWidth="1"/>
    <col min="4" max="4" width="25" customWidth="1"/>
    <col min="5" max="5" width="30" customWidth="1"/>
    <col min="6" max="6" width="40.5546875" customWidth="1"/>
    <col min="7" max="7" width="50" customWidth="1"/>
    <col min="8" max="8" width="26.77734375" customWidth="1"/>
  </cols>
  <sheetData>
    <row r="1" spans="1:8">
      <c r="A1" s="28" t="s">
        <v>36</v>
      </c>
      <c r="B1" s="36"/>
      <c r="C1" s="36"/>
      <c r="D1" s="36"/>
      <c r="E1" s="36"/>
      <c r="F1" s="36"/>
      <c r="G1" s="36"/>
      <c r="H1" s="36"/>
    </row>
    <row r="2" spans="1:8" ht="30" customHeight="1">
      <c r="A2" s="30" t="s">
        <v>37</v>
      </c>
      <c r="B2" s="36"/>
      <c r="C2" s="36"/>
      <c r="D2" s="36"/>
      <c r="E2" s="36"/>
      <c r="F2" s="36"/>
      <c r="G2" s="36"/>
      <c r="H2" s="36"/>
    </row>
    <row r="3" spans="1:8" ht="40.049999999999997" customHeight="1">
      <c r="A3" s="9" t="s">
        <v>38</v>
      </c>
      <c r="B3" s="9" t="s">
        <v>39</v>
      </c>
      <c r="C3" s="9" t="s">
        <v>40</v>
      </c>
      <c r="D3" s="9" t="s">
        <v>41</v>
      </c>
      <c r="E3" s="9" t="s">
        <v>42</v>
      </c>
      <c r="F3" s="9" t="s">
        <v>43</v>
      </c>
      <c r="G3" s="9" t="s">
        <v>44</v>
      </c>
      <c r="H3" s="9" t="s">
        <v>45</v>
      </c>
    </row>
    <row r="4" spans="1:8" ht="199.2" customHeight="1">
      <c r="A4" s="5" t="s">
        <v>46</v>
      </c>
      <c r="B4" s="34" t="s">
        <v>116</v>
      </c>
      <c r="C4" s="6" t="s">
        <v>117</v>
      </c>
      <c r="D4" s="34" t="s">
        <v>130</v>
      </c>
      <c r="E4" s="6" t="s">
        <v>119</v>
      </c>
      <c r="F4" s="6" t="s">
        <v>118</v>
      </c>
      <c r="G4" s="7" t="s">
        <v>131</v>
      </c>
      <c r="H4" s="6" t="s">
        <v>120</v>
      </c>
    </row>
    <row r="5" spans="1:8" ht="217.8" customHeight="1">
      <c r="A5" s="5" t="s">
        <v>47</v>
      </c>
      <c r="B5" s="34" t="s">
        <v>121</v>
      </c>
      <c r="C5" s="34" t="s">
        <v>122</v>
      </c>
      <c r="D5" s="34" t="s">
        <v>132</v>
      </c>
      <c r="E5" s="6" t="s">
        <v>126</v>
      </c>
      <c r="F5" s="37" t="s">
        <v>123</v>
      </c>
      <c r="G5" s="7" t="s">
        <v>124</v>
      </c>
      <c r="H5" s="6" t="s">
        <v>125</v>
      </c>
    </row>
    <row r="6" spans="1:8" ht="161.4" customHeight="1">
      <c r="A6" s="10" t="s">
        <v>48</v>
      </c>
      <c r="B6" s="6" t="s">
        <v>127</v>
      </c>
      <c r="C6" s="34" t="s">
        <v>128</v>
      </c>
      <c r="D6" s="38" t="s">
        <v>133</v>
      </c>
      <c r="E6" s="34" t="s">
        <v>129</v>
      </c>
      <c r="F6" s="34" t="s">
        <v>134</v>
      </c>
      <c r="G6" s="40" t="s">
        <v>135</v>
      </c>
      <c r="H6" s="42" t="s">
        <v>136</v>
      </c>
    </row>
    <row r="7" spans="1:8" s="8" customFormat="1" ht="79.95" customHeight="1">
      <c r="A7" s="3"/>
      <c r="B7" s="12"/>
      <c r="C7" s="12"/>
      <c r="D7" s="12"/>
      <c r="E7" s="12"/>
      <c r="F7" s="12"/>
      <c r="G7"/>
      <c r="H7" s="41"/>
    </row>
    <row r="8" spans="1:8" s="8" customFormat="1" ht="79.95" customHeight="1">
      <c r="A8" s="11"/>
      <c r="B8" s="12"/>
      <c r="C8" s="12"/>
      <c r="D8" s="12"/>
      <c r="E8" s="12"/>
      <c r="F8" s="12"/>
      <c r="G8" s="39"/>
      <c r="H8" s="12"/>
    </row>
    <row r="9" spans="1:8" s="8" customFormat="1" ht="79.95" customHeight="1">
      <c r="A9" s="11"/>
      <c r="B9" s="12"/>
      <c r="C9" s="12"/>
      <c r="D9" s="12"/>
      <c r="E9" s="12"/>
      <c r="F9" s="12"/>
      <c r="G9" s="12"/>
      <c r="H9" s="12"/>
    </row>
    <row r="10" spans="1:8" ht="79.95" customHeight="1">
      <c r="A10" s="3"/>
      <c r="B10" s="3"/>
      <c r="C10" s="3"/>
      <c r="D10" s="3"/>
      <c r="E10" s="3"/>
      <c r="F10" s="3"/>
      <c r="G10" s="3"/>
      <c r="H10" s="3"/>
    </row>
    <row r="11" spans="1:8" ht="79.95" customHeight="1">
      <c r="A11" s="3"/>
      <c r="B11" s="3"/>
      <c r="C11" s="3"/>
      <c r="D11" s="3"/>
      <c r="E11" s="3"/>
      <c r="F11" s="3"/>
      <c r="G11" s="3"/>
      <c r="H11" s="3"/>
    </row>
    <row r="12" spans="1:8" ht="79.95" customHeight="1">
      <c r="A12" s="3"/>
      <c r="B12" s="3"/>
      <c r="C12" s="3"/>
      <c r="D12" s="3"/>
      <c r="E12" s="3"/>
      <c r="F12" s="3"/>
      <c r="G12" s="3"/>
      <c r="H12" s="3"/>
    </row>
    <row r="13" spans="1:8" ht="79.95" customHeight="1">
      <c r="A13" s="3"/>
      <c r="B13" s="3"/>
      <c r="C13" s="3"/>
      <c r="D13" s="3"/>
      <c r="E13" s="3"/>
      <c r="F13" s="3"/>
      <c r="G13" s="3"/>
      <c r="H13" s="3"/>
    </row>
    <row r="14" spans="1:8" ht="79.95" customHeight="1">
      <c r="A14" s="3"/>
      <c r="B14" s="3"/>
      <c r="C14" s="3"/>
      <c r="D14" s="3"/>
      <c r="E14" s="3"/>
      <c r="F14" s="3"/>
      <c r="G14" s="3"/>
      <c r="H14" s="3"/>
    </row>
    <row r="15" spans="1:8" ht="79.95" customHeight="1">
      <c r="A15" s="3"/>
      <c r="B15" s="3"/>
      <c r="C15" s="3"/>
      <c r="D15" s="3"/>
      <c r="E15" s="3"/>
      <c r="F15" s="3"/>
      <c r="G15" s="3"/>
      <c r="H15" s="3"/>
    </row>
    <row r="16" spans="1:8" ht="79.95" customHeight="1">
      <c r="A16" s="3"/>
      <c r="B16" s="3"/>
      <c r="C16" s="3"/>
      <c r="D16" s="3"/>
      <c r="E16" s="3"/>
      <c r="F16" s="3"/>
      <c r="G16" s="3"/>
      <c r="H16" s="3"/>
    </row>
    <row r="17" spans="1:8" ht="79.95" customHeight="1">
      <c r="A17" s="3"/>
      <c r="B17" s="3"/>
      <c r="C17" s="3"/>
      <c r="D17" s="3"/>
      <c r="E17" s="3"/>
      <c r="F17" s="3"/>
      <c r="G17" s="3"/>
      <c r="H17" s="3"/>
    </row>
    <row r="18" spans="1:8" ht="79.95" customHeight="1">
      <c r="A18" s="3"/>
      <c r="B18" s="3"/>
      <c r="C18" s="3"/>
      <c r="D18" s="3"/>
      <c r="E18" s="3"/>
      <c r="F18" s="3"/>
      <c r="G18" s="3"/>
      <c r="H18" s="3"/>
    </row>
    <row r="19" spans="1:8" ht="79.95" customHeight="1">
      <c r="A19" s="3"/>
      <c r="B19" s="3"/>
      <c r="C19" s="3"/>
      <c r="D19" s="3"/>
      <c r="E19" s="3"/>
      <c r="F19" s="3"/>
      <c r="G19" s="3"/>
      <c r="H19" s="3"/>
    </row>
    <row r="20" spans="1:8" ht="79.95" customHeight="1">
      <c r="A20" s="3"/>
      <c r="B20" s="3"/>
      <c r="C20" s="3"/>
      <c r="D20" s="3"/>
      <c r="E20" s="3"/>
      <c r="F20" s="3"/>
      <c r="G20" s="3"/>
      <c r="H20" s="3"/>
    </row>
    <row r="21" spans="1:8" ht="79.95" customHeight="1">
      <c r="A21" s="3"/>
      <c r="B21" s="3"/>
      <c r="C21" s="3"/>
      <c r="D21" s="3"/>
      <c r="E21" s="3"/>
      <c r="F21" s="3"/>
      <c r="G21" s="3"/>
      <c r="H21" s="3"/>
    </row>
    <row r="22" spans="1:8" ht="79.95" customHeight="1">
      <c r="A22" s="3"/>
      <c r="B22" s="3"/>
      <c r="C22" s="3"/>
      <c r="D22" s="3"/>
      <c r="E22" s="3"/>
      <c r="F22" s="3"/>
      <c r="G22" s="3"/>
      <c r="H22" s="3"/>
    </row>
    <row r="23" spans="1:8" ht="79.95" customHeight="1">
      <c r="A23" s="3"/>
      <c r="B23" s="3"/>
      <c r="C23" s="3"/>
      <c r="D23" s="3"/>
      <c r="E23" s="3"/>
      <c r="F23" s="3"/>
      <c r="G23" s="3"/>
      <c r="H23" s="3"/>
    </row>
    <row r="24" spans="1:8" ht="79.95" customHeight="1">
      <c r="A24" s="3"/>
      <c r="B24" s="3"/>
      <c r="C24" s="3"/>
      <c r="D24" s="3"/>
      <c r="E24" s="3"/>
      <c r="F24" s="3"/>
      <c r="G24" s="3"/>
      <c r="H24" s="3"/>
    </row>
    <row r="25" spans="1:8" ht="79.95" customHeight="1">
      <c r="A25" s="3"/>
      <c r="B25" s="3"/>
      <c r="C25" s="3"/>
      <c r="D25" s="3"/>
      <c r="E25" s="3"/>
      <c r="F25" s="3"/>
      <c r="G25" s="3"/>
      <c r="H25" s="3"/>
    </row>
  </sheetData>
  <mergeCells count="2">
    <mergeCell ref="A2:H2"/>
    <mergeCell ref="A1:H1"/>
  </mergeCells>
  <pageMargins left="0.75" right="0.75" top="1" bottom="1" header="0.5" footer="0.5"/>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36"/>
  <sheetViews>
    <sheetView workbookViewId="0">
      <selection activeCell="A4" sqref="A4"/>
    </sheetView>
  </sheetViews>
  <sheetFormatPr defaultRowHeight="14.4"/>
  <cols>
    <col min="1" max="1" width="12" customWidth="1"/>
    <col min="2" max="2" width="22" customWidth="1"/>
    <col min="3" max="6" width="30" customWidth="1"/>
  </cols>
  <sheetData>
    <row r="1" spans="1:6">
      <c r="A1" s="32" t="s">
        <v>49</v>
      </c>
      <c r="B1" s="44"/>
      <c r="C1" s="44"/>
      <c r="D1" s="44"/>
      <c r="E1" s="44"/>
      <c r="F1" s="44"/>
    </row>
    <row r="2" spans="1:6">
      <c r="A2" s="31" t="s">
        <v>50</v>
      </c>
      <c r="B2" s="44"/>
      <c r="C2" s="44"/>
      <c r="D2" s="44"/>
      <c r="E2" s="44"/>
      <c r="F2" s="44"/>
    </row>
    <row r="3" spans="1:6" ht="40.049999999999997" customHeight="1">
      <c r="A3" s="2" t="s">
        <v>51</v>
      </c>
      <c r="B3" s="2" t="s">
        <v>52</v>
      </c>
      <c r="C3" s="2" t="s">
        <v>53</v>
      </c>
      <c r="D3" s="2" t="s">
        <v>54</v>
      </c>
      <c r="E3" s="2" t="s">
        <v>55</v>
      </c>
      <c r="F3" s="2" t="s">
        <v>56</v>
      </c>
    </row>
    <row r="4" spans="1:6" ht="228" customHeight="1">
      <c r="A4" s="10" t="s">
        <v>46</v>
      </c>
      <c r="B4" s="34" t="s">
        <v>137</v>
      </c>
      <c r="C4" s="34" t="s">
        <v>138</v>
      </c>
      <c r="D4" s="34" t="s">
        <v>139</v>
      </c>
      <c r="E4" s="45" t="s">
        <v>145</v>
      </c>
      <c r="F4" s="34" t="s">
        <v>140</v>
      </c>
    </row>
    <row r="5" spans="1:6" ht="180" customHeight="1">
      <c r="A5" s="43" t="s">
        <v>47</v>
      </c>
      <c r="B5" s="34" t="s">
        <v>141</v>
      </c>
      <c r="C5" s="34" t="s">
        <v>142</v>
      </c>
      <c r="D5" s="34" t="s">
        <v>143</v>
      </c>
      <c r="E5" s="45" t="s">
        <v>146</v>
      </c>
      <c r="F5" s="34" t="s">
        <v>144</v>
      </c>
    </row>
    <row r="6" spans="1:6" ht="184.8" customHeight="1">
      <c r="A6" s="43" t="s">
        <v>48</v>
      </c>
      <c r="B6" s="34" t="s">
        <v>147</v>
      </c>
      <c r="C6" s="34" t="s">
        <v>148</v>
      </c>
      <c r="D6" s="34" t="s">
        <v>149</v>
      </c>
      <c r="E6" s="45" t="s">
        <v>150</v>
      </c>
      <c r="F6" s="34" t="s">
        <v>151</v>
      </c>
    </row>
    <row r="7" spans="1:6" ht="60" customHeight="1">
      <c r="A7" s="3"/>
      <c r="B7" s="3"/>
      <c r="C7" s="3"/>
      <c r="D7" s="3"/>
      <c r="E7" s="3"/>
      <c r="F7" s="3"/>
    </row>
    <row r="8" spans="1:6" ht="60" customHeight="1">
      <c r="A8" s="3"/>
      <c r="B8" s="3"/>
      <c r="C8" s="3"/>
      <c r="D8" s="3"/>
      <c r="E8" s="3"/>
      <c r="F8" s="3"/>
    </row>
    <row r="9" spans="1:6" ht="60" customHeight="1">
      <c r="A9" s="3"/>
      <c r="B9" s="3"/>
      <c r="C9" s="3"/>
      <c r="D9" s="3"/>
      <c r="E9" s="3"/>
      <c r="F9" s="3"/>
    </row>
    <row r="10" spans="1:6" ht="60" customHeight="1">
      <c r="A10" s="3"/>
      <c r="B10" s="3"/>
      <c r="C10" s="3"/>
      <c r="D10" s="3"/>
      <c r="E10" s="3"/>
      <c r="F10" s="3"/>
    </row>
    <row r="11" spans="1:6" ht="60" customHeight="1">
      <c r="A11" s="3"/>
      <c r="B11" s="3"/>
      <c r="C11" s="3"/>
      <c r="D11" s="3"/>
      <c r="E11" s="3"/>
      <c r="F11" s="3"/>
    </row>
    <row r="12" spans="1:6" ht="60" customHeight="1">
      <c r="A12" s="3"/>
      <c r="B12" s="3"/>
      <c r="C12" s="3"/>
      <c r="D12" s="3"/>
      <c r="E12" s="3"/>
      <c r="F12" s="3"/>
    </row>
    <row r="13" spans="1:6" ht="60" customHeight="1">
      <c r="A13" s="3"/>
      <c r="B13" s="3"/>
      <c r="C13" s="3"/>
      <c r="D13" s="3"/>
      <c r="E13" s="3"/>
      <c r="F13" s="3"/>
    </row>
    <row r="14" spans="1:6" ht="60" customHeight="1">
      <c r="A14" s="3"/>
      <c r="B14" s="3"/>
      <c r="C14" s="3"/>
      <c r="D14" s="3"/>
      <c r="E14" s="3"/>
      <c r="F14" s="3"/>
    </row>
    <row r="15" spans="1:6" ht="60" customHeight="1">
      <c r="A15" s="3"/>
      <c r="B15" s="3"/>
      <c r="C15" s="3"/>
      <c r="D15" s="3"/>
      <c r="E15" s="3"/>
      <c r="F15" s="3"/>
    </row>
    <row r="16" spans="1:6" ht="60" customHeight="1">
      <c r="A16" s="3"/>
      <c r="B16" s="3"/>
      <c r="C16" s="3"/>
      <c r="D16" s="3"/>
      <c r="E16" s="3"/>
      <c r="F16" s="3"/>
    </row>
    <row r="17" spans="1:6" ht="60" customHeight="1">
      <c r="A17" s="3"/>
      <c r="B17" s="3"/>
      <c r="C17" s="3"/>
      <c r="D17" s="3"/>
      <c r="E17" s="3"/>
      <c r="F17" s="3"/>
    </row>
    <row r="18" spans="1:6" ht="60" customHeight="1">
      <c r="A18" s="3"/>
      <c r="B18" s="3"/>
      <c r="C18" s="3"/>
      <c r="D18" s="3"/>
      <c r="E18" s="3"/>
      <c r="F18" s="3"/>
    </row>
    <row r="19" spans="1:6" ht="60" customHeight="1">
      <c r="A19" s="3"/>
      <c r="B19" s="3"/>
      <c r="C19" s="3"/>
      <c r="D19" s="3"/>
      <c r="E19" s="3"/>
      <c r="F19" s="3"/>
    </row>
    <row r="20" spans="1:6" ht="60" customHeight="1">
      <c r="A20" s="3"/>
      <c r="B20" s="3"/>
      <c r="C20" s="3"/>
      <c r="D20" s="3"/>
      <c r="E20" s="3"/>
      <c r="F20" s="3"/>
    </row>
    <row r="21" spans="1:6" ht="60" customHeight="1">
      <c r="A21" s="3"/>
      <c r="B21" s="3"/>
      <c r="C21" s="3"/>
      <c r="D21" s="3"/>
      <c r="E21" s="3"/>
      <c r="F21" s="3"/>
    </row>
    <row r="22" spans="1:6" ht="60" customHeight="1">
      <c r="A22" s="3"/>
      <c r="B22" s="3"/>
      <c r="C22" s="3"/>
      <c r="D22" s="3"/>
      <c r="E22" s="3"/>
      <c r="F22" s="3"/>
    </row>
    <row r="23" spans="1:6" ht="60" customHeight="1">
      <c r="A23" s="3"/>
      <c r="B23" s="3"/>
      <c r="C23" s="3"/>
      <c r="D23" s="3"/>
      <c r="E23" s="3"/>
      <c r="F23" s="3"/>
    </row>
    <row r="24" spans="1:6" ht="60" customHeight="1">
      <c r="A24" s="3"/>
      <c r="B24" s="3"/>
      <c r="C24" s="3"/>
      <c r="D24" s="3"/>
      <c r="E24" s="3"/>
      <c r="F24" s="3"/>
    </row>
    <row r="30" spans="1:6" ht="18">
      <c r="A30" s="1" t="s">
        <v>58</v>
      </c>
    </row>
    <row r="31" spans="1:6">
      <c r="A31" s="4" t="s">
        <v>59</v>
      </c>
      <c r="B31" s="4" t="s">
        <v>60</v>
      </c>
      <c r="C31" s="4" t="s">
        <v>61</v>
      </c>
    </row>
    <row r="32" spans="1:6" ht="28.8">
      <c r="A32" s="3" t="s">
        <v>57</v>
      </c>
      <c r="B32" s="3" t="s">
        <v>62</v>
      </c>
      <c r="C32" s="3" t="s">
        <v>63</v>
      </c>
    </row>
    <row r="33" spans="1:3" ht="28.8">
      <c r="A33" s="3" t="s">
        <v>64</v>
      </c>
      <c r="B33" s="3" t="s">
        <v>65</v>
      </c>
      <c r="C33" s="3" t="s">
        <v>66</v>
      </c>
    </row>
    <row r="34" spans="1:3" ht="28.8">
      <c r="A34" s="3" t="s">
        <v>67</v>
      </c>
      <c r="B34" s="3" t="s">
        <v>68</v>
      </c>
      <c r="C34" s="3" t="s">
        <v>69</v>
      </c>
    </row>
    <row r="35" spans="1:3" ht="28.8">
      <c r="A35" s="3" t="s">
        <v>70</v>
      </c>
      <c r="B35" s="3" t="s">
        <v>71</v>
      </c>
      <c r="C35" s="3" t="s">
        <v>72</v>
      </c>
    </row>
    <row r="36" spans="1:3" ht="43.2">
      <c r="A36" s="3" t="s">
        <v>73</v>
      </c>
      <c r="B36" s="3" t="s">
        <v>74</v>
      </c>
      <c r="C36" s="3" t="s">
        <v>75</v>
      </c>
    </row>
  </sheetData>
  <mergeCells count="2">
    <mergeCell ref="A2:F2"/>
    <mergeCell ref="A1:F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30"/>
  <sheetViews>
    <sheetView tabSelected="1" workbookViewId="0">
      <selection activeCell="C6" sqref="C6"/>
    </sheetView>
  </sheetViews>
  <sheetFormatPr defaultColWidth="8.77734375" defaultRowHeight="13.8"/>
  <cols>
    <col min="1" max="1" width="8" style="8" customWidth="1"/>
    <col min="2" max="2" width="60" style="8" customWidth="1"/>
    <col min="3" max="3" width="10" style="8" customWidth="1"/>
    <col min="4" max="4" width="30" style="8" customWidth="1"/>
    <col min="5" max="16384" width="8.77734375" style="8"/>
  </cols>
  <sheetData>
    <row r="1" spans="1:4">
      <c r="A1" s="28" t="s">
        <v>76</v>
      </c>
      <c r="B1" s="29"/>
      <c r="C1" s="29"/>
      <c r="D1" s="29"/>
    </row>
    <row r="2" spans="1:4">
      <c r="A2" s="33" t="s">
        <v>77</v>
      </c>
      <c r="B2" s="29"/>
      <c r="C2" s="29"/>
      <c r="D2" s="29"/>
    </row>
    <row r="4" spans="1:4" ht="17.399999999999999">
      <c r="A4" s="13" t="s">
        <v>78</v>
      </c>
    </row>
    <row r="5" spans="1:4">
      <c r="A5" s="9" t="s">
        <v>79</v>
      </c>
      <c r="B5" s="20" t="s">
        <v>80</v>
      </c>
      <c r="C5" s="9" t="s">
        <v>81</v>
      </c>
      <c r="D5" s="20" t="s">
        <v>82</v>
      </c>
    </row>
    <row r="6" spans="1:4">
      <c r="A6" s="21" t="s">
        <v>83</v>
      </c>
      <c r="B6" s="22" t="s">
        <v>84</v>
      </c>
      <c r="C6" s="21" t="s">
        <v>85</v>
      </c>
      <c r="D6" s="22"/>
    </row>
    <row r="7" spans="1:4">
      <c r="A7" s="21" t="s">
        <v>86</v>
      </c>
      <c r="B7" s="22" t="s">
        <v>87</v>
      </c>
      <c r="C7" s="21" t="s">
        <v>85</v>
      </c>
      <c r="D7" s="22"/>
    </row>
    <row r="8" spans="1:4">
      <c r="A8" s="21" t="s">
        <v>88</v>
      </c>
      <c r="B8" s="22" t="s">
        <v>89</v>
      </c>
      <c r="C8" s="21" t="s">
        <v>85</v>
      </c>
      <c r="D8" s="22"/>
    </row>
    <row r="9" spans="1:4">
      <c r="A9" s="21" t="s">
        <v>90</v>
      </c>
      <c r="B9" s="22" t="s">
        <v>91</v>
      </c>
      <c r="C9" s="21" t="s">
        <v>85</v>
      </c>
      <c r="D9" s="22"/>
    </row>
    <row r="10" spans="1:4">
      <c r="A10" s="21" t="s">
        <v>92</v>
      </c>
      <c r="B10" s="22" t="s">
        <v>93</v>
      </c>
      <c r="C10" s="21" t="s">
        <v>85</v>
      </c>
      <c r="D10" s="22"/>
    </row>
    <row r="12" spans="1:4" ht="17.399999999999999">
      <c r="A12" s="13" t="s">
        <v>94</v>
      </c>
    </row>
    <row r="13" spans="1:4">
      <c r="A13" s="9" t="s">
        <v>79</v>
      </c>
      <c r="B13" s="20" t="s">
        <v>80</v>
      </c>
      <c r="C13" s="9" t="s">
        <v>81</v>
      </c>
      <c r="D13" s="20" t="s">
        <v>95</v>
      </c>
    </row>
    <row r="14" spans="1:4">
      <c r="A14" s="21" t="s">
        <v>83</v>
      </c>
      <c r="B14" s="22" t="s">
        <v>96</v>
      </c>
      <c r="C14" s="21" t="s">
        <v>85</v>
      </c>
      <c r="D14" s="22"/>
    </row>
    <row r="15" spans="1:4">
      <c r="A15" s="21" t="s">
        <v>86</v>
      </c>
      <c r="B15" s="22" t="s">
        <v>97</v>
      </c>
      <c r="C15" s="21" t="s">
        <v>85</v>
      </c>
      <c r="D15" s="22"/>
    </row>
    <row r="16" spans="1:4">
      <c r="A16" s="21" t="s">
        <v>88</v>
      </c>
      <c r="B16" s="22" t="s">
        <v>98</v>
      </c>
      <c r="C16" s="21" t="s">
        <v>85</v>
      </c>
      <c r="D16" s="22"/>
    </row>
    <row r="17" spans="1:4">
      <c r="A17" s="21" t="s">
        <v>90</v>
      </c>
      <c r="B17" s="22" t="s">
        <v>99</v>
      </c>
      <c r="C17" s="21" t="s">
        <v>85</v>
      </c>
      <c r="D17" s="22"/>
    </row>
    <row r="18" spans="1:4">
      <c r="A18" s="21" t="s">
        <v>92</v>
      </c>
      <c r="B18" s="22" t="s">
        <v>100</v>
      </c>
      <c r="C18" s="21" t="s">
        <v>85</v>
      </c>
      <c r="D18" s="22"/>
    </row>
    <row r="20" spans="1:4" ht="15.6">
      <c r="A20" s="23" t="s">
        <v>101</v>
      </c>
    </row>
    <row r="21" spans="1:4">
      <c r="A21" s="24" t="s">
        <v>102</v>
      </c>
    </row>
    <row r="22" spans="1:4">
      <c r="A22" s="24" t="s">
        <v>103</v>
      </c>
    </row>
    <row r="25" spans="1:4" ht="17.399999999999999">
      <c r="A25" s="13" t="s">
        <v>104</v>
      </c>
    </row>
    <row r="26" spans="1:4">
      <c r="A26" s="25" t="s">
        <v>105</v>
      </c>
    </row>
    <row r="27" spans="1:4" ht="41.4">
      <c r="A27" s="26" t="s">
        <v>38</v>
      </c>
      <c r="B27" s="27" t="s">
        <v>106</v>
      </c>
      <c r="C27" s="27" t="s">
        <v>107</v>
      </c>
      <c r="D27" s="27" t="s">
        <v>108</v>
      </c>
    </row>
    <row r="28" spans="1:4">
      <c r="A28" s="19" t="s">
        <v>46</v>
      </c>
      <c r="B28" s="12"/>
      <c r="C28" s="12"/>
      <c r="D28" s="12"/>
    </row>
    <row r="29" spans="1:4">
      <c r="A29" s="19" t="s">
        <v>47</v>
      </c>
      <c r="B29" s="12"/>
      <c r="C29" s="12"/>
      <c r="D29" s="12"/>
    </row>
    <row r="30" spans="1:4">
      <c r="A30" s="19" t="s">
        <v>48</v>
      </c>
      <c r="B30" s="12"/>
      <c r="C30" s="12"/>
      <c r="D30" s="12"/>
    </row>
  </sheetData>
  <mergeCells count="2">
    <mergeCell ref="A1:D1"/>
    <mergeCell ref="A2:D2"/>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1. Metadata &amp; Summary</vt:lpstr>
      <vt:lpstr>2. Detailed Audit Log</vt:lpstr>
      <vt:lpstr>3. Hallucination Detection</vt:lpstr>
      <vt:lpstr>4. Self-Assessment Checklist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Ngiieen nee</cp:lastModifiedBy>
  <dcterms:created xsi:type="dcterms:W3CDTF">2026-05-07T22:28:42Z</dcterms:created>
  <dcterms:modified xsi:type="dcterms:W3CDTF">2026-06-03T01:10:58Z</dcterms:modified>
</cp:coreProperties>
</file>